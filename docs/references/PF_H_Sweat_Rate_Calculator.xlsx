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WORK\PF&amp;H\Precision\"/>
    </mc:Choice>
  </mc:AlternateContent>
  <bookViews>
    <workbookView xWindow="0" yWindow="495" windowWidth="28800" windowHeight="16035" activeTab="1"/>
  </bookViews>
  <sheets>
    <sheet name="Calculator" sheetId="1" r:id="rId1"/>
    <sheet name="Report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3" l="1"/>
  <c r="L17" i="3" s="1"/>
  <c r="D12" i="3"/>
  <c r="F12" i="3" s="1"/>
  <c r="F11" i="3"/>
  <c r="D11" i="3"/>
  <c r="F10" i="3"/>
  <c r="D10" i="3"/>
  <c r="L18" i="3" l="1"/>
  <c r="M17" i="3"/>
  <c r="M16" i="3"/>
  <c r="G1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10" i="1"/>
  <c r="G21" i="1"/>
  <c r="H12" i="1"/>
  <c r="I12" i="1" s="1"/>
  <c r="J12" i="1" s="1"/>
  <c r="L12" i="1" s="1"/>
  <c r="M12" i="1" s="1"/>
  <c r="G10" i="1"/>
  <c r="L16" i="2"/>
  <c r="L17" i="2" s="1"/>
  <c r="F10" i="2"/>
  <c r="F39" i="1"/>
  <c r="H11" i="1"/>
  <c r="H13" i="1"/>
  <c r="I13" i="1" s="1"/>
  <c r="J13" i="1" s="1"/>
  <c r="L13" i="1" s="1"/>
  <c r="M13" i="1" s="1"/>
  <c r="H14" i="1"/>
  <c r="I14" i="1" s="1"/>
  <c r="J14" i="1" s="1"/>
  <c r="L14" i="1" s="1"/>
  <c r="M14" i="1" s="1"/>
  <c r="H15" i="1"/>
  <c r="I15" i="1" s="1"/>
  <c r="J15" i="1" s="1"/>
  <c r="L15" i="1" s="1"/>
  <c r="M15" i="1" s="1"/>
  <c r="H16" i="1"/>
  <c r="I16" i="1" s="1"/>
  <c r="J16" i="1" s="1"/>
  <c r="L16" i="1" s="1"/>
  <c r="M16" i="1" s="1"/>
  <c r="H17" i="1"/>
  <c r="I17" i="1" s="1"/>
  <c r="J17" i="1" s="1"/>
  <c r="L17" i="1" s="1"/>
  <c r="M17" i="1" s="1"/>
  <c r="H18" i="1"/>
  <c r="I18" i="1" s="1"/>
  <c r="J18" i="1" s="1"/>
  <c r="L18" i="1" s="1"/>
  <c r="M18" i="1" s="1"/>
  <c r="H19" i="1"/>
  <c r="I19" i="1" s="1"/>
  <c r="J19" i="1" s="1"/>
  <c r="L19" i="1" s="1"/>
  <c r="M19" i="1" s="1"/>
  <c r="H20" i="1"/>
  <c r="I20" i="1" s="1"/>
  <c r="J20" i="1" s="1"/>
  <c r="L20" i="1" s="1"/>
  <c r="M20" i="1" s="1"/>
  <c r="H21" i="1"/>
  <c r="I21" i="1" s="1"/>
  <c r="J21" i="1" s="1"/>
  <c r="L21" i="1" s="1"/>
  <c r="M21" i="1" s="1"/>
  <c r="H22" i="1"/>
  <c r="I22" i="1" s="1"/>
  <c r="J22" i="1" s="1"/>
  <c r="L22" i="1" s="1"/>
  <c r="M22" i="1" s="1"/>
  <c r="H23" i="1"/>
  <c r="I23" i="1" s="1"/>
  <c r="J23" i="1" s="1"/>
  <c r="L23" i="1" s="1"/>
  <c r="M23" i="1" s="1"/>
  <c r="H24" i="1"/>
  <c r="I24" i="1" s="1"/>
  <c r="J24" i="1" s="1"/>
  <c r="L24" i="1" s="1"/>
  <c r="M24" i="1" s="1"/>
  <c r="H25" i="1"/>
  <c r="I25" i="1" s="1"/>
  <c r="J25" i="1" s="1"/>
  <c r="L25" i="1" s="1"/>
  <c r="M25" i="1" s="1"/>
  <c r="H26" i="1"/>
  <c r="I26" i="1" s="1"/>
  <c r="J26" i="1" s="1"/>
  <c r="L26" i="1" s="1"/>
  <c r="M26" i="1" s="1"/>
  <c r="H27" i="1"/>
  <c r="I27" i="1" s="1"/>
  <c r="J27" i="1" s="1"/>
  <c r="L27" i="1" s="1"/>
  <c r="M27" i="1" s="1"/>
  <c r="H28" i="1"/>
  <c r="I28" i="1" s="1"/>
  <c r="J28" i="1" s="1"/>
  <c r="L28" i="1" s="1"/>
  <c r="M28" i="1" s="1"/>
  <c r="H29" i="1"/>
  <c r="I29" i="1" s="1"/>
  <c r="J29" i="1" s="1"/>
  <c r="L29" i="1" s="1"/>
  <c r="M29" i="1" s="1"/>
  <c r="H30" i="1"/>
  <c r="I30" i="1" s="1"/>
  <c r="J30" i="1" s="1"/>
  <c r="L30" i="1" s="1"/>
  <c r="M30" i="1" s="1"/>
  <c r="H31" i="1"/>
  <c r="I31" i="1" s="1"/>
  <c r="J31" i="1" s="1"/>
  <c r="L31" i="1" s="1"/>
  <c r="M31" i="1" s="1"/>
  <c r="H32" i="1"/>
  <c r="I32" i="1" s="1"/>
  <c r="J32" i="1" s="1"/>
  <c r="L32" i="1" s="1"/>
  <c r="M32" i="1" s="1"/>
  <c r="H33" i="1"/>
  <c r="I33" i="1" s="1"/>
  <c r="J33" i="1" s="1"/>
  <c r="L33" i="1" s="1"/>
  <c r="M33" i="1" s="1"/>
  <c r="H34" i="1"/>
  <c r="I34" i="1" s="1"/>
  <c r="J34" i="1" s="1"/>
  <c r="L34" i="1" s="1"/>
  <c r="M34" i="1" s="1"/>
  <c r="H35" i="1"/>
  <c r="I35" i="1" s="1"/>
  <c r="J35" i="1" s="1"/>
  <c r="L35" i="1" s="1"/>
  <c r="M35" i="1" s="1"/>
  <c r="H10" i="1"/>
  <c r="I10" i="1" s="1"/>
  <c r="J10" i="1" s="1"/>
  <c r="L10" i="1" s="1"/>
  <c r="M10" i="1" s="1"/>
  <c r="G11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19" i="3" l="1"/>
  <c r="M18" i="3"/>
  <c r="I11" i="1"/>
  <c r="J11" i="1" s="1"/>
  <c r="L18" i="2"/>
  <c r="M17" i="2"/>
  <c r="M16" i="2"/>
  <c r="L20" i="3" l="1"/>
  <c r="M19" i="3"/>
  <c r="L11" i="1"/>
  <c r="M11" i="1" s="1"/>
  <c r="D11" i="2"/>
  <c r="F11" i="2" s="1"/>
  <c r="D10" i="2"/>
  <c r="D12" i="2"/>
  <c r="F12" i="2" s="1"/>
  <c r="L19" i="2"/>
  <c r="M18" i="2"/>
  <c r="L21" i="3" l="1"/>
  <c r="M20" i="3"/>
  <c r="L20" i="2"/>
  <c r="M19" i="2"/>
  <c r="L22" i="3" l="1"/>
  <c r="M21" i="3"/>
  <c r="L21" i="2"/>
  <c r="M20" i="2"/>
  <c r="L23" i="3" l="1"/>
  <c r="M22" i="3"/>
  <c r="L22" i="2"/>
  <c r="M21" i="2"/>
  <c r="L24" i="3" l="1"/>
  <c r="M23" i="3"/>
  <c r="L23" i="2"/>
  <c r="M22" i="2"/>
  <c r="L25" i="3" l="1"/>
  <c r="M24" i="3"/>
  <c r="L24" i="2"/>
  <c r="M23" i="2"/>
  <c r="L26" i="3" l="1"/>
  <c r="M25" i="3"/>
  <c r="L25" i="2"/>
  <c r="M24" i="2"/>
  <c r="M26" i="3" l="1"/>
  <c r="L27" i="3"/>
  <c r="L26" i="2"/>
  <c r="M25" i="2"/>
  <c r="L28" i="3" l="1"/>
  <c r="M27" i="3"/>
  <c r="L27" i="2"/>
  <c r="M26" i="2"/>
  <c r="L29" i="3" l="1"/>
  <c r="M28" i="3"/>
  <c r="L28" i="2"/>
  <c r="M27" i="2"/>
  <c r="L30" i="3" l="1"/>
  <c r="M29" i="3"/>
  <c r="L29" i="2"/>
  <c r="M28" i="2"/>
  <c r="L31" i="3" l="1"/>
  <c r="M30" i="3"/>
  <c r="L30" i="2"/>
  <c r="M29" i="2"/>
  <c r="L32" i="3" l="1"/>
  <c r="M31" i="3"/>
  <c r="L31" i="2"/>
  <c r="M30" i="2"/>
  <c r="L33" i="3" l="1"/>
  <c r="M32" i="3"/>
  <c r="L32" i="2"/>
  <c r="M31" i="2"/>
  <c r="L34" i="3" l="1"/>
  <c r="M33" i="3"/>
  <c r="L33" i="2"/>
  <c r="M32" i="2"/>
  <c r="L35" i="3" l="1"/>
  <c r="M34" i="3"/>
  <c r="L34" i="2"/>
  <c r="M33" i="2"/>
  <c r="L36" i="3" l="1"/>
  <c r="M35" i="3"/>
  <c r="L35" i="2"/>
  <c r="M34" i="2"/>
  <c r="L37" i="3" l="1"/>
  <c r="M36" i="3"/>
  <c r="L36" i="2"/>
  <c r="M35" i="2"/>
  <c r="L38" i="3" l="1"/>
  <c r="M37" i="3"/>
  <c r="L37" i="2"/>
  <c r="M36" i="2"/>
  <c r="M38" i="3" l="1"/>
  <c r="L39" i="3"/>
  <c r="M39" i="3" s="1"/>
  <c r="L38" i="2"/>
  <c r="M37" i="2"/>
  <c r="L39" i="2" l="1"/>
  <c r="M39" i="2" s="1"/>
  <c r="M38" i="2"/>
</calcChain>
</file>

<file path=xl/comments1.xml><?xml version="1.0" encoding="utf-8"?>
<comments xmlns="http://schemas.openxmlformats.org/spreadsheetml/2006/main">
  <authors>
    <author>Microsoft Office User</author>
  </authors>
  <commentList>
    <comment ref="B9" authorId="0" shapeId="0">
      <text>
        <r>
          <rPr>
            <sz val="12"/>
            <color rgb="FF000000"/>
            <rFont val="Poppins"/>
            <family val="2"/>
            <charset val="77"/>
          </rPr>
          <t>The ideal session length for data collection is 60-90 minutes.</t>
        </r>
      </text>
    </comment>
    <comment ref="K9" authorId="0" shapeId="0">
      <text>
        <r>
          <rPr>
            <sz val="12"/>
            <color rgb="FF000000"/>
            <rFont val="Poppins"/>
            <family val="2"/>
            <charset val="77"/>
          </rPr>
          <t xml:space="preserve">Sweat sodium data if you've had a </t>
        </r>
        <r>
          <rPr>
            <b/>
            <u/>
            <sz val="12"/>
            <color rgb="FF000000"/>
            <rFont val="Poppins"/>
            <family val="2"/>
            <charset val="77"/>
          </rPr>
          <t>Sweat Test</t>
        </r>
        <r>
          <rPr>
            <sz val="12"/>
            <color rgb="FF000000"/>
            <rFont val="Poppins"/>
            <family val="2"/>
            <charset val="77"/>
          </rPr>
          <t xml:space="preserve">.
</t>
        </r>
        <r>
          <rPr>
            <sz val="12"/>
            <color rgb="FF000000"/>
            <rFont val="Poppins"/>
            <family val="2"/>
            <charset val="77"/>
          </rPr>
          <t>Leave blank if you don't know how salty your sweat is.</t>
        </r>
      </text>
    </comment>
    <comment ref="N9" authorId="0" shapeId="0">
      <text>
        <r>
          <rPr>
            <b/>
            <u/>
            <sz val="12"/>
            <color rgb="FF000000"/>
            <rFont val="Poppins"/>
            <family val="2"/>
            <charset val="77"/>
          </rPr>
          <t xml:space="preserve">Rehydrate </t>
        </r>
        <r>
          <rPr>
            <sz val="12"/>
            <color rgb="FF000000"/>
            <rFont val="Poppins"/>
            <family val="2"/>
            <charset val="77"/>
          </rPr>
          <t>quickly by drinking 1.5 x your losses in 2-3 hours.</t>
        </r>
      </text>
    </comment>
    <comment ref="O9" authorId="0" shapeId="0">
      <text>
        <r>
          <rPr>
            <sz val="12"/>
            <color rgb="FF000000"/>
            <rFont val="Poppins"/>
            <family val="2"/>
            <charset val="77"/>
          </rPr>
          <t>Session notes/info.</t>
        </r>
      </text>
    </comment>
    <comment ref="A10" authorId="0" shapeId="0">
      <text>
        <r>
          <rPr>
            <sz val="12"/>
            <color rgb="FF000000"/>
            <rFont val="Poppins"/>
            <family val="2"/>
            <charset val="77"/>
          </rPr>
          <t>There are two example rows filled out - these should be manually cleared when you start recording your own data.</t>
        </r>
      </text>
    </comment>
  </commentList>
</comments>
</file>

<file path=xl/sharedStrings.xml><?xml version="1.0" encoding="utf-8"?>
<sst xmlns="http://schemas.openxmlformats.org/spreadsheetml/2006/main" count="65" uniqueCount="44">
  <si>
    <t>Mode of exercise</t>
  </si>
  <si>
    <t>Session duration (minutes)</t>
  </si>
  <si>
    <t>Start body weight (kg)</t>
  </si>
  <si>
    <t>End body weight (kg)</t>
  </si>
  <si>
    <t>Total sweat loss (L)</t>
  </si>
  <si>
    <t>Sweat rate (L/hr)</t>
  </si>
  <si>
    <t>Sodium loss (mg/hr)</t>
  </si>
  <si>
    <t>Date</t>
  </si>
  <si>
    <t>Indoor or Outdoor</t>
  </si>
  <si>
    <t>Start drink + fuel weight (kg)</t>
  </si>
  <si>
    <t>End drink + fuel weight (kg)</t>
  </si>
  <si>
    <t>% body weight change</t>
  </si>
  <si>
    <t>Drink/fuel consumed (L)</t>
  </si>
  <si>
    <t>Total sodium loss (mg)</t>
  </si>
  <si>
    <t>Comments</t>
  </si>
  <si>
    <t>Sweat sodium concentration (mg/L)</t>
  </si>
  <si>
    <t>Example (Running)</t>
  </si>
  <si>
    <t>Example (Cycling)</t>
  </si>
  <si>
    <t>Key</t>
  </si>
  <si>
    <t>Converter</t>
  </si>
  <si>
    <t>lbs</t>
  </si>
  <si>
    <t>Average</t>
  </si>
  <si>
    <t>Minimum</t>
  </si>
  <si>
    <t>Maximum</t>
  </si>
  <si>
    <t>Hour of event</t>
  </si>
  <si>
    <t>Body weight estimations (kg)</t>
  </si>
  <si>
    <t>Estimated sweat rate (L/hr)</t>
  </si>
  <si>
    <t>Planned fluid intake (L/hr)</t>
  </si>
  <si>
    <t>Estimated starting body weight (kg)</t>
  </si>
  <si>
    <t>Avg power or pace (Watts or min/km or min/mile)</t>
  </si>
  <si>
    <t>Input your data into these cells</t>
  </si>
  <si>
    <t>Calculations (no user input required)</t>
  </si>
  <si>
    <t>Moderate-servere dehydration (4-8% of BM loss) large negative impacts to performance in any condtions</t>
  </si>
  <si>
    <t>Severe dehydration (&gt;8% of BM loss) extreme impact to health and performance in any conditions</t>
  </si>
  <si>
    <t>Temp (°C/°F)</t>
  </si>
  <si>
    <t>Use the table below to add sweat rate estimations and your planned fluid intake to see predicted body weight changes over your event.</t>
  </si>
  <si>
    <t>Well-hydrated to mild dehydration (0-2% of body mass (BM) loss)</t>
  </si>
  <si>
    <t>Estimated race time (hours)</t>
  </si>
  <si>
    <t>Rehydration recommendation (L)</t>
  </si>
  <si>
    <t>Temperature (°C or °F)</t>
  </si>
  <si>
    <t>kg</t>
  </si>
  <si>
    <t>Moderate dehydration (2-4% of BM loss) likely to negativley impact performance over long durations and/or warm/humid conditions</t>
  </si>
  <si>
    <t>Indoor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</si>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</sst>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6"/>
      <color theme="1"/>
      <name val="Poppins Regular"/>
    </font>
    <font>
      <sz val="12"/>
      <color theme="1"/>
      <name val="Poppins Regular"/>
    </font>
    <font>
      <u/>
      <sz val="12"/>
      <color theme="10"/>
      <name val="Aptos Narrow"/>
      <family val="2"/>
      <scheme val="minor"/>
    </font>
    <font>
      <u/>
      <sz val="12"/>
      <color theme="10"/>
      <name val="Poppins Regular"/>
    </font>
    <font>
      <sz val="10"/>
      <color theme="1"/>
      <name val="Aptos Narrow"/>
      <family val="2"/>
      <scheme val="minor"/>
    </font>
    <font>
      <b/>
      <u/>
      <sz val="12"/>
      <color rgb="FF000000"/>
      <name val="Poppins"/>
      <family val="2"/>
      <charset val="77"/>
    </font>
    <font>
      <sz val="12"/>
      <color rgb="FF000000"/>
      <name val="Poppins"/>
      <family val="2"/>
      <charset val="77"/>
    </font>
    <font>
      <b/>
      <sz val="12"/>
      <color theme="0"/>
      <name val="Poppins Regular"/>
    </font>
    <font>
      <i/>
      <sz val="12"/>
      <color theme="1"/>
      <name val="Poppins Regular"/>
    </font>
    <font>
      <b/>
      <sz val="12"/>
      <color theme="1"/>
      <name val="Poppins Regular"/>
    </font>
    <font>
      <sz val="11.5"/>
      <color theme="1"/>
      <name val="Poppins Regular"/>
    </font>
    <font>
      <b/>
      <sz val="11.5"/>
      <color theme="1"/>
      <name val="Poppins Regular"/>
    </font>
  </fonts>
  <fills count="17">
    <fill>
      <patternFill patternType="none"/>
    </fill>
    <fill>
      <patternFill patternType="gray125"/>
    </fill>
    <fill>
      <patternFill patternType="solid">
        <fgColor rgb="FF8B189D"/>
        <bgColor indexed="64"/>
      </patternFill>
    </fill>
    <fill>
      <patternFill patternType="solid">
        <fgColor rgb="FFFC5000"/>
        <bgColor indexed="64"/>
      </patternFill>
    </fill>
    <fill>
      <patternFill patternType="solid">
        <fgColor rgb="FFFDDC00"/>
        <bgColor indexed="64"/>
      </patternFill>
    </fill>
    <fill>
      <patternFill patternType="solid">
        <fgColor rgb="FFC3D50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6565"/>
        <bgColor indexed="64"/>
      </patternFill>
    </fill>
    <fill>
      <patternFill patternType="solid">
        <fgColor rgb="FFFC979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DC00"/>
        <bgColor indexed="64"/>
      </patternFill>
    </fill>
    <fill>
      <patternFill patternType="solid">
        <fgColor rgb="FFFFF4B8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2" borderId="0" xfId="0" applyFont="1" applyFill="1"/>
    <xf numFmtId="0" fontId="3" fillId="3" borderId="0" xfId="0" applyFont="1" applyFill="1"/>
    <xf numFmtId="0" fontId="6" fillId="4" borderId="0" xfId="2" applyFont="1" applyFill="1" applyAlignment="1">
      <alignment vertical="top" wrapText="1"/>
    </xf>
    <xf numFmtId="0" fontId="6" fillId="5" borderId="0" xfId="2" applyFont="1" applyFill="1" applyAlignment="1">
      <alignment vertical="top" wrapText="1"/>
    </xf>
    <xf numFmtId="0" fontId="2" fillId="6" borderId="8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13" xfId="0" applyFill="1" applyBorder="1"/>
    <xf numFmtId="0" fontId="0" fillId="3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4" fillId="0" borderId="0" xfId="0" applyFont="1"/>
    <xf numFmtId="0" fontId="4" fillId="0" borderId="10" xfId="0" applyFont="1" applyBorder="1" applyAlignment="1">
      <alignment horizontal="center" vertical="top"/>
    </xf>
    <xf numFmtId="0" fontId="4" fillId="0" borderId="6" xfId="0" applyFont="1" applyBorder="1"/>
    <xf numFmtId="0" fontId="4" fillId="0" borderId="4" xfId="0" applyFont="1" applyBorder="1"/>
    <xf numFmtId="0" fontId="4" fillId="0" borderId="18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2" fontId="12" fillId="9" borderId="17" xfId="0" applyNumberFormat="1" applyFont="1" applyFill="1" applyBorder="1" applyAlignment="1">
      <alignment horizontal="center" vertical="top"/>
    </xf>
    <xf numFmtId="2" fontId="4" fillId="9" borderId="17" xfId="0" applyNumberFormat="1" applyFont="1" applyFill="1" applyBorder="1" applyAlignment="1">
      <alignment horizontal="center" vertical="top"/>
    </xf>
    <xf numFmtId="2" fontId="12" fillId="9" borderId="10" xfId="0" applyNumberFormat="1" applyFont="1" applyFill="1" applyBorder="1" applyAlignment="1">
      <alignment horizontal="center" vertical="top"/>
    </xf>
    <xf numFmtId="2" fontId="4" fillId="9" borderId="10" xfId="0" applyNumberFormat="1" applyFont="1" applyFill="1" applyBorder="1" applyAlignment="1">
      <alignment horizontal="center" vertical="top"/>
    </xf>
    <xf numFmtId="1" fontId="4" fillId="9" borderId="2" xfId="0" applyNumberFormat="1" applyFont="1" applyFill="1" applyBorder="1" applyAlignment="1">
      <alignment horizontal="center" vertical="top"/>
    </xf>
    <xf numFmtId="1" fontId="4" fillId="9" borderId="7" xfId="0" applyNumberFormat="1" applyFont="1" applyFill="1" applyBorder="1" applyAlignment="1">
      <alignment horizontal="center" vertical="top"/>
    </xf>
    <xf numFmtId="2" fontId="10" fillId="9" borderId="10" xfId="0" applyNumberFormat="1" applyFont="1" applyFill="1" applyBorder="1" applyAlignment="1">
      <alignment horizontal="center" vertical="top"/>
    </xf>
    <xf numFmtId="0" fontId="12" fillId="7" borderId="2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1" fillId="0" borderId="2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4" fillId="0" borderId="7" xfId="0" applyFont="1" applyBorder="1" applyAlignment="1" applyProtection="1">
      <alignment horizontal="center" vertical="top"/>
      <protection locked="0"/>
    </xf>
    <xf numFmtId="0" fontId="11" fillId="0" borderId="1" xfId="0" applyFont="1" applyBorder="1" applyAlignment="1" applyProtection="1">
      <alignment horizontal="center" vertical="top"/>
      <protection locked="0"/>
    </xf>
    <xf numFmtId="0" fontId="4" fillId="0" borderId="1" xfId="0" applyFont="1" applyBorder="1" applyAlignment="1" applyProtection="1">
      <alignment horizontal="center" vertical="top"/>
      <protection locked="0"/>
    </xf>
    <xf numFmtId="0" fontId="4" fillId="0" borderId="3" xfId="0" applyFont="1" applyBorder="1" applyAlignment="1" applyProtection="1">
      <alignment horizontal="center" vertical="top"/>
      <protection locked="0"/>
    </xf>
    <xf numFmtId="1" fontId="4" fillId="0" borderId="9" xfId="0" applyNumberFormat="1" applyFont="1" applyBorder="1" applyAlignment="1" applyProtection="1">
      <alignment horizontal="center" vertical="top"/>
      <protection locked="0"/>
    </xf>
    <xf numFmtId="1" fontId="4" fillId="0" borderId="5" xfId="0" applyNumberFormat="1" applyFont="1" applyBorder="1" applyAlignment="1" applyProtection="1">
      <alignment horizontal="center" vertical="top"/>
      <protection locked="0"/>
    </xf>
    <xf numFmtId="0" fontId="4" fillId="0" borderId="17" xfId="0" applyFont="1" applyBorder="1" applyAlignment="1" applyProtection="1">
      <alignment horizontal="center" vertical="top"/>
      <protection locked="0"/>
    </xf>
    <xf numFmtId="0" fontId="4" fillId="0" borderId="10" xfId="0" applyFont="1" applyBorder="1" applyAlignment="1" applyProtection="1">
      <alignment horizontal="center" vertical="top"/>
      <protection locked="0"/>
    </xf>
    <xf numFmtId="0" fontId="6" fillId="4" borderId="0" xfId="2" applyFont="1" applyFill="1" applyAlignment="1">
      <alignment vertical="center" wrapText="1"/>
    </xf>
    <xf numFmtId="0" fontId="6" fillId="5" borderId="0" xfId="2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18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2" fillId="14" borderId="1" xfId="0" applyFont="1" applyFill="1" applyBorder="1" applyAlignment="1">
      <alignment horizontal="center" vertical="center" wrapText="1"/>
    </xf>
    <xf numFmtId="2" fontId="12" fillId="15" borderId="17" xfId="0" applyNumberFormat="1" applyFont="1" applyFill="1" applyBorder="1" applyAlignment="1">
      <alignment horizontal="center" vertical="top"/>
    </xf>
    <xf numFmtId="2" fontId="12" fillId="15" borderId="10" xfId="0" applyNumberFormat="1" applyFont="1" applyFill="1" applyBorder="1" applyAlignment="1">
      <alignment horizontal="center" vertical="top"/>
    </xf>
    <xf numFmtId="0" fontId="4" fillId="16" borderId="17" xfId="0" applyFont="1" applyFill="1" applyBorder="1" applyAlignment="1">
      <alignment horizontal="center" vertical="top"/>
    </xf>
    <xf numFmtId="0" fontId="12" fillId="7" borderId="1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14" fontId="4" fillId="0" borderId="10" xfId="0" applyNumberFormat="1" applyFont="1" applyBorder="1" applyAlignment="1" applyProtection="1">
      <alignment horizontal="center" vertical="top"/>
      <protection locked="0"/>
    </xf>
    <xf numFmtId="14" fontId="4" fillId="0" borderId="17" xfId="0" applyNumberFormat="1" applyFont="1" applyBorder="1" applyAlignment="1" applyProtection="1">
      <alignment horizontal="center" vertical="top"/>
      <protection locked="0"/>
    </xf>
    <xf numFmtId="0" fontId="4" fillId="0" borderId="2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 applyProtection="1">
      <alignment horizontal="center" vertical="top"/>
      <protection locked="0"/>
    </xf>
    <xf numFmtId="0" fontId="12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wrapText="1"/>
    </xf>
    <xf numFmtId="0" fontId="4" fillId="0" borderId="17" xfId="0" applyFont="1" applyBorder="1" applyAlignment="1" applyProtection="1">
      <alignment horizontal="center" vertical="top"/>
      <protection locked="0"/>
    </xf>
    <xf numFmtId="0" fontId="12" fillId="7" borderId="14" xfId="0" applyFont="1" applyFill="1" applyBorder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14" fillId="0" borderId="10" xfId="0" applyFont="1" applyBorder="1" applyAlignment="1">
      <alignment horizontal="left"/>
    </xf>
    <xf numFmtId="0" fontId="12" fillId="7" borderId="3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4" fillId="0" borderId="18" xfId="0" applyFont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/>
      <protection locked="0"/>
    </xf>
    <xf numFmtId="164" fontId="4" fillId="8" borderId="16" xfId="0" applyNumberFormat="1" applyFont="1" applyFill="1" applyBorder="1" applyAlignment="1">
      <alignment horizontal="center"/>
    </xf>
    <xf numFmtId="164" fontId="4" fillId="8" borderId="15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2" fontId="4" fillId="9" borderId="10" xfId="0" applyNumberFormat="1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164" fontId="4" fillId="9" borderId="10" xfId="0" applyNumberFormat="1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2" fontId="10" fillId="11" borderId="22" xfId="0" applyNumberFormat="1" applyFont="1" applyFill="1" applyBorder="1" applyAlignment="1">
      <alignment horizontal="center" vertical="center"/>
    </xf>
    <xf numFmtId="0" fontId="4" fillId="10" borderId="25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3" fillId="0" borderId="19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12" fillId="7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2" fontId="10" fillId="13" borderId="25" xfId="0" applyNumberFormat="1" applyFont="1" applyFill="1" applyBorder="1" applyAlignment="1">
      <alignment horizontal="center" vertical="center"/>
    </xf>
    <xf numFmtId="2" fontId="10" fillId="13" borderId="2" xfId="0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0"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6666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6666"/>
        </patternFill>
      </fill>
    </dxf>
    <dxf>
      <fill>
        <patternFill>
          <bgColor rgb="FFFF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8B189E"/>
      <color rgb="FFFC5000"/>
      <color rgb="FFFFF4B8"/>
      <color rgb="FFFFF394"/>
      <color rgb="FFFEDC00"/>
      <color rgb="FFFFCCCC"/>
      <color rgb="FFFF0000"/>
      <color rgb="FFFEDC02"/>
      <color rgb="FFFF9999"/>
      <color rgb="FFFF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Sweat rate vs temps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4AA-744D-A154-D0485B163C4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4AA-744D-A154-D0485B163C4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2C95-8245-82BB-5B6B239BD304}"/>
              </c:ext>
            </c:extLst>
          </c:dPt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Calculator!$P$10:$P$35</c:f>
              <c:numCache>
                <c:formatCode>General</c:formatCode>
                <c:ptCount val="26"/>
                <c:pt idx="0">
                  <c:v>36</c:v>
                </c:pt>
                <c:pt idx="1">
                  <c:v>28</c:v>
                </c:pt>
              </c:numCache>
            </c:numRef>
          </c:xVal>
          <c:yVal>
            <c:numRef>
              <c:f>Calculator!$J$10:$J$35</c:f>
              <c:numCache>
                <c:formatCode>0.00</c:formatCode>
                <c:ptCount val="26"/>
                <c:pt idx="0">
                  <c:v>1.9500000000000031</c:v>
                </c:pt>
                <c:pt idx="1">
                  <c:v>1.8333333333333333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A-744D-A154-D0485B163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876960"/>
        <c:axId val="1337614864"/>
      </c:scatterChart>
      <c:valAx>
        <c:axId val="13478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Poppins" pitchFamily="2" charset="77"/>
                    <a:ea typeface="+mn-ea"/>
                    <a:cs typeface="Poppins" pitchFamily="2" charset="77"/>
                  </a:defRPr>
                </a:pPr>
                <a:r>
                  <a:rPr lang="en-GB"/>
                  <a:t>Temperature (°C/°F)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Poppins" pitchFamily="2" charset="77"/>
                  <a:ea typeface="+mn-ea"/>
                  <a:cs typeface="Poppins" pitchFamily="2" charset="77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Poppins" pitchFamily="2" charset="77"/>
                <a:ea typeface="+mn-ea"/>
                <a:cs typeface="Poppins" pitchFamily="2" charset="77"/>
              </a:defRPr>
            </a:pPr>
            <a:endParaRPr lang="en-US"/>
          </a:p>
        </c:txPr>
        <c:crossAx val="1337614864"/>
        <c:crosses val="autoZero"/>
        <c:crossBetween val="midCat"/>
      </c:valAx>
      <c:valAx>
        <c:axId val="1337614864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Poppins" pitchFamily="2" charset="77"/>
                    <a:ea typeface="+mn-ea"/>
                    <a:cs typeface="Poppins" pitchFamily="2" charset="77"/>
                  </a:defRPr>
                </a:pPr>
                <a:r>
                  <a:rPr lang="en-GB"/>
                  <a:t> Sweat rate (L/hr)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Poppins" pitchFamily="2" charset="77"/>
                  <a:ea typeface="+mn-ea"/>
                  <a:cs typeface="Poppins" pitchFamily="2" charset="77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Poppins" pitchFamily="2" charset="77"/>
                <a:ea typeface="+mn-ea"/>
                <a:cs typeface="Poppins" pitchFamily="2" charset="77"/>
              </a:defRPr>
            </a:pPr>
            <a:endParaRPr lang="en-US"/>
          </a:p>
        </c:txPr>
        <c:crossAx val="134787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Poppins" pitchFamily="2" charset="77"/>
          <a:cs typeface="Poppins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Sweat rate vs temps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CBF-4A58-92A0-461FB147D18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CBF-4A58-92A0-461FB147D18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dk1">
                    <a:tint val="88500"/>
                  </a:schemeClr>
                </a:solidFill>
                <a:ln w="9525">
                  <a:solidFill>
                    <a:schemeClr val="dk1">
                      <a:tint val="885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CBF-4A58-92A0-461FB147D18D}"/>
              </c:ext>
            </c:extLst>
          </c:dPt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Calculator!$P$10:$P$35</c:f>
              <c:numCache>
                <c:formatCode>General</c:formatCode>
                <c:ptCount val="26"/>
                <c:pt idx="0">
                  <c:v>36</c:v>
                </c:pt>
                <c:pt idx="1">
                  <c:v>28</c:v>
                </c:pt>
              </c:numCache>
            </c:numRef>
          </c:xVal>
          <c:yVal>
            <c:numRef>
              <c:f>Calculator!$J$10:$J$35</c:f>
              <c:numCache>
                <c:formatCode>0.00</c:formatCode>
                <c:ptCount val="26"/>
                <c:pt idx="0">
                  <c:v>1.9500000000000031</c:v>
                </c:pt>
                <c:pt idx="1">
                  <c:v>1.8333333333333333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CBF-4A58-92A0-461FB147D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876960"/>
        <c:axId val="1337614864"/>
      </c:scatterChart>
      <c:valAx>
        <c:axId val="13478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Poppins" pitchFamily="2" charset="77"/>
                    <a:ea typeface="+mn-ea"/>
                    <a:cs typeface="Poppins" pitchFamily="2" charset="77"/>
                  </a:defRPr>
                </a:pPr>
                <a:r>
                  <a:rPr lang="en-GB"/>
                  <a:t>Temperature (°C/°F)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Poppins" pitchFamily="2" charset="77"/>
                  <a:ea typeface="+mn-ea"/>
                  <a:cs typeface="Poppins" pitchFamily="2" charset="77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Poppins" pitchFamily="2" charset="77"/>
                <a:ea typeface="+mn-ea"/>
                <a:cs typeface="Poppins" pitchFamily="2" charset="77"/>
              </a:defRPr>
            </a:pPr>
            <a:endParaRPr lang="en-US"/>
          </a:p>
        </c:txPr>
        <c:crossAx val="1337614864"/>
        <c:crosses val="autoZero"/>
        <c:crossBetween val="midCat"/>
      </c:valAx>
      <c:valAx>
        <c:axId val="1337614864"/>
        <c:scaling>
          <c:orientation val="minMax"/>
          <c:max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Poppins" pitchFamily="2" charset="77"/>
                    <a:ea typeface="+mn-ea"/>
                    <a:cs typeface="Poppins" pitchFamily="2" charset="77"/>
                  </a:defRPr>
                </a:pPr>
                <a:r>
                  <a:rPr lang="en-GB"/>
                  <a:t> Sweat rate (L/hr)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Poppins" pitchFamily="2" charset="77"/>
                  <a:ea typeface="+mn-ea"/>
                  <a:cs typeface="Poppins" pitchFamily="2" charset="77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Poppins" pitchFamily="2" charset="77"/>
                <a:ea typeface="+mn-ea"/>
                <a:cs typeface="Poppins" pitchFamily="2" charset="77"/>
              </a:defRPr>
            </a:pPr>
            <a:endParaRPr lang="en-US"/>
          </a:p>
        </c:txPr>
        <c:crossAx val="134787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Poppins" pitchFamily="2" charset="77"/>
          <a:cs typeface="Poppins" pitchFamily="2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precisionhydration.com/performance-advice/hydration/how-to-measure-your-sweat-rate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precisionhydration.com/performance-advice/hydration/how-much-dehydration-can-you-tolerate-before-your-performance-suffers/" TargetMode="Externa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precisionhydration.com/performance-advice/hydration/how-much-dehydration-can-you-tolerate-before-your-performance-suffers/" TargetMode="Externa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1085593</xdr:colOff>
      <xdr:row>1</xdr:row>
      <xdr:rowOff>30976</xdr:rowOff>
    </xdr:from>
    <xdr:to>
      <xdr:col>7</xdr:col>
      <xdr:colOff>61951</xdr:colOff>
      <xdr:row>6</xdr:row>
      <xdr:rowOff>185853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EEDBDE-7721-7E89-30F8-B5B339EEA8EA}"/>
            </a:ext>
          </a:extLst>
        </xdr:cNvPr>
        <xdr:cNvSpPr txBox="1"/>
      </xdr:nvSpPr>
      <xdr:spPr>
        <a:xfrm>
          <a:off x="3966325" y="232317"/>
          <a:ext cx="6178187" cy="1254512"/>
        </a:xfrm>
        <a:prstGeom prst="rect">
          <a:avLst/>
        </a:prstGeom>
        <a:solidFill>
          <a:schemeClr val="tx1"/>
        </a:solidFill>
        <a:ln w="9525" cmpd="sng">
          <a:solidFill>
            <a:schemeClr val="bg1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Sweat Rate Calculator</a:t>
          </a:r>
        </a:p>
        <a:p>
          <a:endParaRPr lang="en-GB" sz="1800" kern="1200">
            <a:solidFill>
              <a:schemeClr val="bg1"/>
            </a:solidFill>
            <a:latin typeface="Poppins" pitchFamily="2" charset="77"/>
            <a:cs typeface="Poppins" pitchFamily="2" charset="77"/>
          </a:endParaRPr>
        </a:p>
        <a:p>
          <a:r>
            <a:rPr lang="en-GB" sz="1200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Instructions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 on how to measure your sweat rate can be found </a:t>
          </a:r>
          <a:r>
            <a:rPr lang="en-GB" sz="1200" b="1" u="sng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HERE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.</a:t>
          </a:r>
        </a:p>
      </xdr:txBody>
    </xdr:sp>
    <xdr:clientData/>
  </xdr:twoCellAnchor>
  <xdr:twoCellAnchor editAs="oneCell">
    <xdr:from>
      <xdr:col>0</xdr:col>
      <xdr:colOff>179038</xdr:colOff>
      <xdr:row>1</xdr:row>
      <xdr:rowOff>0</xdr:rowOff>
    </xdr:from>
    <xdr:to>
      <xdr:col>2</xdr:col>
      <xdr:colOff>789878</xdr:colOff>
      <xdr:row>7</xdr:row>
      <xdr:rowOff>15183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49F437-F60D-DBF1-9478-DFE333D32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38" y="201341"/>
          <a:ext cx="3491572" cy="1316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30236</xdr:colOff>
      <xdr:row>12</xdr:row>
      <xdr:rowOff>135469</xdr:rowOff>
    </xdr:from>
    <xdr:to>
      <xdr:col>7</xdr:col>
      <xdr:colOff>50800</xdr:colOff>
      <xdr:row>25</xdr:row>
      <xdr:rowOff>186268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9130B5-B4DE-F249-A472-57113CF7A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1</xdr:row>
      <xdr:rowOff>43676</xdr:rowOff>
    </xdr:from>
    <xdr:to>
      <xdr:col>11</xdr:col>
      <xdr:colOff>380999</xdr:colOff>
      <xdr:row>6</xdr:row>
      <xdr:rowOff>198553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2F4190-A64C-8446-BFEA-B093E5FC0721}"/>
            </a:ext>
          </a:extLst>
        </xdr:cNvPr>
        <xdr:cNvSpPr txBox="1"/>
      </xdr:nvSpPr>
      <xdr:spPr>
        <a:xfrm>
          <a:off x="3949700" y="246876"/>
          <a:ext cx="5511799" cy="1247077"/>
        </a:xfrm>
        <a:prstGeom prst="rect">
          <a:avLst/>
        </a:prstGeom>
        <a:solidFill>
          <a:schemeClr val="tx1"/>
        </a:solidFill>
        <a:ln w="9525" cmpd="sng">
          <a:solidFill>
            <a:schemeClr val="bg1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Sweat Rate Report</a:t>
          </a:r>
          <a:endParaRPr lang="en-GB" sz="1800" kern="1200">
            <a:solidFill>
              <a:schemeClr val="bg1"/>
            </a:solidFill>
            <a:latin typeface="Poppins" pitchFamily="2" charset="77"/>
            <a:cs typeface="Poppins" pitchFamily="2" charset="77"/>
          </a:endParaRPr>
        </a:p>
        <a:p>
          <a:r>
            <a:rPr lang="en-GB" sz="1200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For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 more information on what to do with this data/h</a:t>
          </a:r>
          <a:r>
            <a:rPr lang="en-GB" sz="1200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ow much dehydration you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 can tolerate check out </a:t>
          </a:r>
          <a:r>
            <a:rPr lang="en-GB" sz="1200" b="1" u="sng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this BLOG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.</a:t>
          </a:r>
        </a:p>
      </xdr:txBody>
    </xdr:sp>
    <xdr:clientData/>
  </xdr:twoCellAnchor>
  <xdr:twoCellAnchor editAs="oneCell">
    <xdr:from>
      <xdr:col>0</xdr:col>
      <xdr:colOff>179038</xdr:colOff>
      <xdr:row>1</xdr:row>
      <xdr:rowOff>0</xdr:rowOff>
    </xdr:from>
    <xdr:to>
      <xdr:col>4</xdr:col>
      <xdr:colOff>358078</xdr:colOff>
      <xdr:row>7</xdr:row>
      <xdr:rowOff>91383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49B589-EB56-AC4D-AB7E-1C9A692BC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38" y="203200"/>
          <a:ext cx="3481040" cy="13105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30236</xdr:colOff>
      <xdr:row>12</xdr:row>
      <xdr:rowOff>135469</xdr:rowOff>
    </xdr:from>
    <xdr:to>
      <xdr:col>7</xdr:col>
      <xdr:colOff>50800</xdr:colOff>
      <xdr:row>25</xdr:row>
      <xdr:rowOff>186268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130B5-B4DE-F249-A472-57113CF7A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647700</xdr:colOff>
      <xdr:row>1</xdr:row>
      <xdr:rowOff>43676</xdr:rowOff>
    </xdr:from>
    <xdr:to>
      <xdr:col>11</xdr:col>
      <xdr:colOff>380999</xdr:colOff>
      <xdr:row>6</xdr:row>
      <xdr:rowOff>198553</xdr:rowOff>
    </xdr:to>
    <xdr:sp macro="" textlink="">
      <xdr:nvSpPr>
        <xdr:cNvPr id="3" name="TextBox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42F4190-A64C-8446-BFEA-B093E5FC0721}"/>
            </a:ext>
          </a:extLst>
        </xdr:cNvPr>
        <xdr:cNvSpPr txBox="1"/>
      </xdr:nvSpPr>
      <xdr:spPr>
        <a:xfrm>
          <a:off x="4343400" y="243701"/>
          <a:ext cx="8258174" cy="1231202"/>
        </a:xfrm>
        <a:prstGeom prst="rect">
          <a:avLst/>
        </a:prstGeom>
        <a:solidFill>
          <a:schemeClr val="tx1"/>
        </a:solidFill>
        <a:ln w="9525" cmpd="sng">
          <a:solidFill>
            <a:schemeClr val="bg1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 b="1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Sweat Rate Report</a:t>
          </a:r>
          <a:endParaRPr lang="en-GB" sz="1800" kern="1200">
            <a:solidFill>
              <a:schemeClr val="bg1"/>
            </a:solidFill>
            <a:latin typeface="Poppins" pitchFamily="2" charset="77"/>
            <a:cs typeface="Poppins" pitchFamily="2" charset="77"/>
          </a:endParaRPr>
        </a:p>
        <a:p>
          <a:r>
            <a:rPr lang="en-GB" sz="1200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For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 more information on what to do with this data/h</a:t>
          </a:r>
          <a:r>
            <a:rPr lang="en-GB" sz="1200" kern="120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ow much dehydration you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 can tolerate check out </a:t>
          </a:r>
          <a:r>
            <a:rPr lang="en-GB" sz="1200" b="1" u="sng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this BLOG</a:t>
          </a:r>
          <a:r>
            <a:rPr lang="en-GB" sz="1200" kern="1200" baseline="0">
              <a:solidFill>
                <a:schemeClr val="bg1"/>
              </a:solidFill>
              <a:latin typeface="Poppins" pitchFamily="2" charset="77"/>
              <a:cs typeface="Poppins" pitchFamily="2" charset="77"/>
            </a:rPr>
            <a:t>.</a:t>
          </a:r>
        </a:p>
      </xdr:txBody>
    </xdr:sp>
    <xdr:clientData/>
  </xdr:twoCellAnchor>
  <xdr:twoCellAnchor editAs="oneCell">
    <xdr:from>
      <xdr:col>0</xdr:col>
      <xdr:colOff>179038</xdr:colOff>
      <xdr:row>1</xdr:row>
      <xdr:rowOff>0</xdr:rowOff>
    </xdr:from>
    <xdr:to>
      <xdr:col>0</xdr:col>
      <xdr:colOff>179038</xdr:colOff>
      <xdr:row>8</xdr:row>
      <xdr:rowOff>34233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49B589-EB56-AC4D-AB7E-1C9A692BC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038" y="200025"/>
          <a:ext cx="3874740" cy="1367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recisionhydration.com/performance-advice/hydration/how-to-rehydrate-quickly/" TargetMode="External"/><Relationship Id="rId1" Type="http://schemas.openxmlformats.org/officeDocument/2006/relationships/hyperlink" Target="https://www.precisionhydration.com/sweat-testing/our-sweat-tes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45"/>
  <sheetViews>
    <sheetView showGridLines="0" zoomScale="80" zoomScaleNormal="80" workbookViewId="0">
      <selection activeCell="G18" sqref="G18"/>
    </sheetView>
  </sheetViews>
  <sheetFormatPr defaultColWidth="0" defaultRowHeight="15" zeroHeight="1"/>
  <cols>
    <col min="1" max="13" width="18.77734375" customWidth="1"/>
    <col min="14" max="14" width="23.33203125" customWidth="1"/>
    <col min="15" max="15" width="18.77734375" customWidth="1"/>
    <col min="16" max="17" width="23.33203125" customWidth="1"/>
    <col min="18" max="19" width="18.77734375" customWidth="1"/>
    <col min="20" max="20" width="47.109375" customWidth="1"/>
    <col min="21" max="27" width="10.77734375" customWidth="1"/>
    <col min="28" max="57" width="0" hidden="1" customWidth="1"/>
    <col min="58" max="16384" width="10.77734375" hidden="1"/>
  </cols>
  <sheetData>
    <row r="1" spans="1:56" s="1" customFormat="1" ht="15.95" customHeight="1">
      <c r="D1" s="5"/>
      <c r="E1" s="5"/>
      <c r="F1" s="5"/>
      <c r="G1" s="5"/>
      <c r="H1" s="5"/>
      <c r="I1" s="5"/>
      <c r="J1" s="5"/>
      <c r="T1" s="12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</row>
    <row r="2" spans="1:56" s="1" customFormat="1" ht="15.95" customHeight="1">
      <c r="D2" s="5"/>
      <c r="E2" s="5"/>
      <c r="F2" s="5"/>
      <c r="G2" s="5"/>
      <c r="H2" s="5"/>
      <c r="I2" s="5"/>
      <c r="J2" s="5"/>
      <c r="T2" s="1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56" s="2" customFormat="1" ht="18.95" customHeight="1">
      <c r="D3" s="6"/>
      <c r="E3" s="6"/>
      <c r="F3" s="6"/>
      <c r="G3" s="6"/>
      <c r="H3" s="6"/>
      <c r="I3" s="6"/>
      <c r="J3" s="6"/>
      <c r="T3" s="1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1:56" s="2" customFormat="1" ht="18.95" customHeight="1">
      <c r="D4" s="6"/>
      <c r="E4" s="6"/>
      <c r="F4" s="6"/>
      <c r="G4" s="6"/>
      <c r="H4" s="6"/>
      <c r="I4" s="6"/>
      <c r="J4" s="6"/>
      <c r="T4" s="13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</row>
    <row r="5" spans="1:56" s="3" customFormat="1" ht="15.95" customHeight="1">
      <c r="D5" s="7"/>
      <c r="E5" s="7"/>
      <c r="F5" s="7"/>
      <c r="G5" s="7"/>
      <c r="H5" s="7"/>
      <c r="I5" s="7"/>
      <c r="J5" s="7"/>
      <c r="T5" s="14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</row>
    <row r="6" spans="1:56" s="3" customFormat="1" ht="15.95" customHeight="1">
      <c r="D6" s="7"/>
      <c r="E6" s="7"/>
      <c r="F6" s="7"/>
      <c r="G6" s="7"/>
      <c r="H6" s="7"/>
      <c r="I6" s="7"/>
      <c r="J6" s="7"/>
      <c r="T6" s="14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</row>
    <row r="7" spans="1:56" s="4" customFormat="1" ht="15.95" customHeight="1">
      <c r="D7" s="8"/>
      <c r="E7" s="8"/>
      <c r="F7" s="8"/>
      <c r="G7" s="8"/>
      <c r="H7" s="8"/>
      <c r="I7" s="8"/>
      <c r="J7" s="8"/>
      <c r="K7" s="76"/>
      <c r="T7" s="15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</row>
    <row r="8" spans="1:56" s="4" customFormat="1" ht="15.95" customHeight="1">
      <c r="D8" s="8"/>
      <c r="E8" s="8"/>
      <c r="F8" s="8"/>
      <c r="G8" s="8"/>
      <c r="H8" s="8"/>
      <c r="I8" s="8"/>
      <c r="J8" s="8"/>
      <c r="K8" s="76"/>
      <c r="T8" s="15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</row>
    <row r="9" spans="1:56" s="9" customFormat="1" ht="60" customHeight="1">
      <c r="A9" s="23" t="s">
        <v>0</v>
      </c>
      <c r="B9" s="23" t="s">
        <v>1</v>
      </c>
      <c r="C9" s="23" t="s">
        <v>2</v>
      </c>
      <c r="D9" s="23" t="s">
        <v>3</v>
      </c>
      <c r="E9" s="23" t="s">
        <v>9</v>
      </c>
      <c r="F9" s="23" t="s">
        <v>10</v>
      </c>
      <c r="G9" s="23" t="s">
        <v>11</v>
      </c>
      <c r="H9" s="23" t="s">
        <v>12</v>
      </c>
      <c r="I9" s="23" t="s">
        <v>4</v>
      </c>
      <c r="J9" s="64" t="s">
        <v>5</v>
      </c>
      <c r="K9" s="68" t="s">
        <v>15</v>
      </c>
      <c r="L9" s="23" t="s">
        <v>6</v>
      </c>
      <c r="M9" s="23" t="s">
        <v>13</v>
      </c>
      <c r="N9" s="69" t="s">
        <v>38</v>
      </c>
      <c r="O9" s="23" t="s">
        <v>7</v>
      </c>
      <c r="P9" s="23" t="s">
        <v>39</v>
      </c>
      <c r="Q9" s="23" t="s">
        <v>29</v>
      </c>
      <c r="R9" s="23" t="s">
        <v>8</v>
      </c>
      <c r="S9" s="75" t="s">
        <v>14</v>
      </c>
      <c r="T9" s="75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0"/>
    </row>
    <row r="10" spans="1:56" s="18" customFormat="1" ht="15.75">
      <c r="A10" s="33" t="s">
        <v>16</v>
      </c>
      <c r="B10" s="34">
        <v>60</v>
      </c>
      <c r="C10" s="34">
        <v>61</v>
      </c>
      <c r="D10" s="34">
        <v>59.8</v>
      </c>
      <c r="E10" s="34">
        <v>1</v>
      </c>
      <c r="F10" s="35">
        <v>0.25</v>
      </c>
      <c r="G10" s="24">
        <f>IFERROR(-(C10-D10)/C10*100,"")</f>
        <v>-1.967213114754103</v>
      </c>
      <c r="H10" s="25">
        <f>IF(OR(ISBLANK(E10),ISBLANK(F10)),"",E10-F10)</f>
        <v>0.75</v>
      </c>
      <c r="I10" s="25">
        <f>IFERROR((C10-D10)+H10,"")</f>
        <v>1.9500000000000028</v>
      </c>
      <c r="J10" s="65">
        <f>IFERROR((I10/B10)*60,"")</f>
        <v>1.9500000000000031</v>
      </c>
      <c r="K10" s="39">
        <v>1024</v>
      </c>
      <c r="L10" s="28">
        <f>IFERROR(J10*K10,"")</f>
        <v>1996.8000000000031</v>
      </c>
      <c r="M10" s="29">
        <f>IFERROR(L10*(B10/60),"")</f>
        <v>1996.8000000000031</v>
      </c>
      <c r="N10" s="67">
        <f>IF(D10&gt;C10,"0",(IF(OR(ISBLANK(E10),ISBLANK(F10)),"",(C10-D10)*1.5)))</f>
        <v>1.8000000000000043</v>
      </c>
      <c r="O10" s="71">
        <v>45664</v>
      </c>
      <c r="P10" s="41">
        <v>36</v>
      </c>
      <c r="Q10" s="41">
        <v>150</v>
      </c>
      <c r="R10" s="41" t="s">
        <v>43</v>
      </c>
      <c r="S10" s="77"/>
      <c r="T10" s="77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56" s="19" customFormat="1" ht="15.75">
      <c r="A11" s="36" t="s">
        <v>17</v>
      </c>
      <c r="B11" s="37">
        <v>90</v>
      </c>
      <c r="C11" s="37">
        <v>61</v>
      </c>
      <c r="D11" s="37">
        <v>59.5</v>
      </c>
      <c r="E11" s="37">
        <v>1.5</v>
      </c>
      <c r="F11" s="38">
        <v>0.25</v>
      </c>
      <c r="G11" s="26">
        <f t="shared" ref="G11:G35" si="0">IFERROR(-(C11-D11)/C11*100,"")</f>
        <v>-2.459016393442623</v>
      </c>
      <c r="H11" s="27">
        <f t="shared" ref="H11:H35" si="1">IF(OR(ISBLANK(E11),ISBLANK(F11)),"",E11-F11)</f>
        <v>1.25</v>
      </c>
      <c r="I11" s="27">
        <f t="shared" ref="I11:I35" si="2">IFERROR((C11-D11)+H11,"")</f>
        <v>2.75</v>
      </c>
      <c r="J11" s="66">
        <f t="shared" ref="J11:J35" si="3">IFERROR((I11/B11)*60,"")</f>
        <v>1.8333333333333333</v>
      </c>
      <c r="K11" s="40">
        <v>1024</v>
      </c>
      <c r="L11" s="28">
        <f t="shared" ref="L11:L35" si="4">IFERROR(J11*K11,"")</f>
        <v>1877.3333333333333</v>
      </c>
      <c r="M11" s="29">
        <f t="shared" ref="M11:M35" si="5">IFERROR(L11*(B11/60),"")</f>
        <v>2816</v>
      </c>
      <c r="N11" s="67">
        <f t="shared" ref="N11:N35" si="6">IF(D11&gt;C11,"0",(IF(OR(ISBLANK(E11),ISBLANK(F11)),"",(C11-D11)*1.5)))</f>
        <v>2.25</v>
      </c>
      <c r="O11" s="70">
        <v>45664</v>
      </c>
      <c r="P11" s="42">
        <v>28</v>
      </c>
      <c r="Q11" s="42">
        <v>150</v>
      </c>
      <c r="R11" s="42" t="s">
        <v>42</v>
      </c>
      <c r="S11" s="74"/>
      <c r="T11" s="74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</row>
    <row r="12" spans="1:56" s="18" customFormat="1" ht="15.75">
      <c r="A12" s="37"/>
      <c r="B12" s="37"/>
      <c r="C12" s="37"/>
      <c r="D12" s="37"/>
      <c r="E12" s="37"/>
      <c r="F12" s="38"/>
      <c r="G12" s="26" t="str">
        <f t="shared" si="0"/>
        <v/>
      </c>
      <c r="H12" s="26" t="str">
        <f>IF(OR(ISBLANK(E12),ISBLANK(F12)),"",E12-F12)</f>
        <v/>
      </c>
      <c r="I12" s="26" t="str">
        <f t="shared" si="2"/>
        <v/>
      </c>
      <c r="J12" s="66" t="str">
        <f t="shared" si="3"/>
        <v/>
      </c>
      <c r="K12" s="40"/>
      <c r="L12" s="28" t="str">
        <f t="shared" si="4"/>
        <v/>
      </c>
      <c r="M12" s="29" t="str">
        <f t="shared" si="5"/>
        <v/>
      </c>
      <c r="N12" s="67" t="str">
        <f t="shared" si="6"/>
        <v/>
      </c>
      <c r="O12" s="42"/>
      <c r="P12" s="42"/>
      <c r="Q12" s="42"/>
      <c r="R12" s="42"/>
      <c r="S12" s="74"/>
      <c r="T12" s="74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</row>
    <row r="13" spans="1:56" s="19" customFormat="1" ht="15.75">
      <c r="A13" s="37"/>
      <c r="B13" s="37"/>
      <c r="C13" s="37"/>
      <c r="D13" s="37"/>
      <c r="E13" s="37"/>
      <c r="F13" s="38"/>
      <c r="G13" s="26" t="str">
        <f t="shared" si="0"/>
        <v/>
      </c>
      <c r="H13" s="26" t="str">
        <f t="shared" si="1"/>
        <v/>
      </c>
      <c r="I13" s="26" t="str">
        <f t="shared" si="2"/>
        <v/>
      </c>
      <c r="J13" s="66" t="str">
        <f t="shared" si="3"/>
        <v/>
      </c>
      <c r="K13" s="40"/>
      <c r="L13" s="28" t="str">
        <f t="shared" si="4"/>
        <v/>
      </c>
      <c r="M13" s="29" t="str">
        <f t="shared" si="5"/>
        <v/>
      </c>
      <c r="N13" s="67" t="str">
        <f t="shared" si="6"/>
        <v/>
      </c>
      <c r="O13" s="42"/>
      <c r="P13" s="42"/>
      <c r="Q13" s="42"/>
      <c r="R13" s="42"/>
      <c r="S13" s="74"/>
      <c r="T13" s="74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</row>
    <row r="14" spans="1:56" s="19" customFormat="1" ht="15.75">
      <c r="A14" s="37"/>
      <c r="B14" s="37"/>
      <c r="C14" s="37"/>
      <c r="D14" s="37"/>
      <c r="E14" s="37"/>
      <c r="F14" s="38"/>
      <c r="G14" s="26" t="str">
        <f t="shared" si="0"/>
        <v/>
      </c>
      <c r="H14" s="26" t="str">
        <f t="shared" si="1"/>
        <v/>
      </c>
      <c r="I14" s="26" t="str">
        <f t="shared" si="2"/>
        <v/>
      </c>
      <c r="J14" s="66" t="str">
        <f t="shared" si="3"/>
        <v/>
      </c>
      <c r="K14" s="40"/>
      <c r="L14" s="28" t="str">
        <f t="shared" si="4"/>
        <v/>
      </c>
      <c r="M14" s="29" t="str">
        <f t="shared" si="5"/>
        <v/>
      </c>
      <c r="N14" s="67" t="str">
        <f t="shared" si="6"/>
        <v/>
      </c>
      <c r="O14" s="42"/>
      <c r="P14" s="42"/>
      <c r="Q14" s="42"/>
      <c r="R14" s="42"/>
      <c r="S14" s="74"/>
      <c r="T14" s="74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</row>
    <row r="15" spans="1:56" s="19" customFormat="1" ht="15.75">
      <c r="A15" s="37"/>
      <c r="B15" s="37"/>
      <c r="C15" s="37"/>
      <c r="D15" s="37"/>
      <c r="E15" s="37"/>
      <c r="F15" s="38"/>
      <c r="G15" s="26" t="str">
        <f t="shared" si="0"/>
        <v/>
      </c>
      <c r="H15" s="26" t="str">
        <f t="shared" si="1"/>
        <v/>
      </c>
      <c r="I15" s="26" t="str">
        <f t="shared" si="2"/>
        <v/>
      </c>
      <c r="J15" s="66" t="str">
        <f t="shared" si="3"/>
        <v/>
      </c>
      <c r="K15" s="40"/>
      <c r="L15" s="28" t="str">
        <f t="shared" si="4"/>
        <v/>
      </c>
      <c r="M15" s="29" t="str">
        <f t="shared" si="5"/>
        <v/>
      </c>
      <c r="N15" s="67" t="str">
        <f t="shared" si="6"/>
        <v/>
      </c>
      <c r="O15" s="42"/>
      <c r="P15" s="42"/>
      <c r="Q15" s="42"/>
      <c r="R15" s="42"/>
      <c r="S15" s="74"/>
      <c r="T15" s="74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</row>
    <row r="16" spans="1:56" s="19" customFormat="1" ht="15.75">
      <c r="A16" s="37"/>
      <c r="B16" s="37"/>
      <c r="C16" s="37"/>
      <c r="D16" s="37"/>
      <c r="E16" s="37"/>
      <c r="F16" s="38"/>
      <c r="G16" s="26" t="str">
        <f t="shared" si="0"/>
        <v/>
      </c>
      <c r="H16" s="26" t="str">
        <f t="shared" si="1"/>
        <v/>
      </c>
      <c r="I16" s="26" t="str">
        <f t="shared" si="2"/>
        <v/>
      </c>
      <c r="J16" s="66" t="str">
        <f t="shared" si="3"/>
        <v/>
      </c>
      <c r="K16" s="40"/>
      <c r="L16" s="28" t="str">
        <f t="shared" si="4"/>
        <v/>
      </c>
      <c r="M16" s="29" t="str">
        <f t="shared" si="5"/>
        <v/>
      </c>
      <c r="N16" s="67" t="str">
        <f t="shared" si="6"/>
        <v/>
      </c>
      <c r="O16" s="42"/>
      <c r="P16" s="42"/>
      <c r="Q16" s="42"/>
      <c r="R16" s="42"/>
      <c r="S16" s="74"/>
      <c r="T16" s="74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spans="1:55" s="19" customFormat="1" ht="15.75">
      <c r="A17" s="37"/>
      <c r="B17" s="37"/>
      <c r="C17" s="37"/>
      <c r="D17" s="37"/>
      <c r="E17" s="37"/>
      <c r="F17" s="38"/>
      <c r="G17" s="26" t="str">
        <f t="shared" si="0"/>
        <v/>
      </c>
      <c r="H17" s="26" t="str">
        <f t="shared" si="1"/>
        <v/>
      </c>
      <c r="I17" s="26" t="str">
        <f t="shared" si="2"/>
        <v/>
      </c>
      <c r="J17" s="66" t="str">
        <f t="shared" si="3"/>
        <v/>
      </c>
      <c r="K17" s="40"/>
      <c r="L17" s="28" t="str">
        <f t="shared" si="4"/>
        <v/>
      </c>
      <c r="M17" s="29" t="str">
        <f t="shared" si="5"/>
        <v/>
      </c>
      <c r="N17" s="67" t="str">
        <f t="shared" si="6"/>
        <v/>
      </c>
      <c r="O17" s="42"/>
      <c r="P17" s="42"/>
      <c r="Q17" s="42"/>
      <c r="R17" s="42"/>
      <c r="S17" s="74"/>
      <c r="T17" s="74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</row>
    <row r="18" spans="1:55" s="19" customFormat="1" ht="15.75">
      <c r="A18" s="37"/>
      <c r="B18" s="37"/>
      <c r="C18" s="37"/>
      <c r="D18" s="37"/>
      <c r="E18" s="37"/>
      <c r="F18" s="38"/>
      <c r="G18" s="26" t="str">
        <f t="shared" si="0"/>
        <v/>
      </c>
      <c r="H18" s="26" t="str">
        <f t="shared" si="1"/>
        <v/>
      </c>
      <c r="I18" s="26" t="str">
        <f t="shared" si="2"/>
        <v/>
      </c>
      <c r="J18" s="66" t="str">
        <f t="shared" si="3"/>
        <v/>
      </c>
      <c r="K18" s="40"/>
      <c r="L18" s="28" t="str">
        <f t="shared" si="4"/>
        <v/>
      </c>
      <c r="M18" s="29" t="str">
        <f t="shared" si="5"/>
        <v/>
      </c>
      <c r="N18" s="67" t="str">
        <f t="shared" si="6"/>
        <v/>
      </c>
      <c r="O18" s="42"/>
      <c r="P18" s="42"/>
      <c r="Q18" s="42"/>
      <c r="R18" s="42"/>
      <c r="S18" s="74"/>
      <c r="T18" s="74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</row>
    <row r="19" spans="1:55" s="19" customFormat="1" ht="15.75">
      <c r="A19" s="37"/>
      <c r="B19" s="37"/>
      <c r="C19" s="37"/>
      <c r="D19" s="37"/>
      <c r="E19" s="37"/>
      <c r="F19" s="38"/>
      <c r="G19" s="26" t="str">
        <f t="shared" si="0"/>
        <v/>
      </c>
      <c r="H19" s="26" t="str">
        <f t="shared" si="1"/>
        <v/>
      </c>
      <c r="I19" s="26" t="str">
        <f t="shared" si="2"/>
        <v/>
      </c>
      <c r="J19" s="66" t="str">
        <f t="shared" si="3"/>
        <v/>
      </c>
      <c r="K19" s="40"/>
      <c r="L19" s="28" t="str">
        <f t="shared" si="4"/>
        <v/>
      </c>
      <c r="M19" s="29" t="str">
        <f t="shared" si="5"/>
        <v/>
      </c>
      <c r="N19" s="67" t="str">
        <f t="shared" si="6"/>
        <v/>
      </c>
      <c r="O19" s="42"/>
      <c r="P19" s="42"/>
      <c r="Q19" s="42"/>
      <c r="R19" s="42"/>
      <c r="S19" s="74"/>
      <c r="T19" s="74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</row>
    <row r="20" spans="1:55" s="19" customFormat="1" ht="15.75">
      <c r="A20" s="37"/>
      <c r="B20" s="37"/>
      <c r="C20" s="37"/>
      <c r="D20" s="37"/>
      <c r="E20" s="37"/>
      <c r="F20" s="38"/>
      <c r="G20" s="26" t="str">
        <f t="shared" si="0"/>
        <v/>
      </c>
      <c r="H20" s="26" t="str">
        <f t="shared" si="1"/>
        <v/>
      </c>
      <c r="I20" s="26" t="str">
        <f t="shared" si="2"/>
        <v/>
      </c>
      <c r="J20" s="66" t="str">
        <f t="shared" si="3"/>
        <v/>
      </c>
      <c r="K20" s="40"/>
      <c r="L20" s="28" t="str">
        <f t="shared" si="4"/>
        <v/>
      </c>
      <c r="M20" s="29" t="str">
        <f t="shared" si="5"/>
        <v/>
      </c>
      <c r="N20" s="67" t="str">
        <f t="shared" si="6"/>
        <v/>
      </c>
      <c r="O20" s="42"/>
      <c r="P20" s="42"/>
      <c r="Q20" s="42"/>
      <c r="R20" s="42"/>
      <c r="S20" s="74"/>
      <c r="T20" s="74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</row>
    <row r="21" spans="1:55" s="19" customFormat="1" ht="15.75">
      <c r="A21" s="37"/>
      <c r="B21" s="37"/>
      <c r="C21" s="37"/>
      <c r="D21" s="37"/>
      <c r="E21" s="37"/>
      <c r="F21" s="38"/>
      <c r="G21" s="26" t="str">
        <f t="shared" si="0"/>
        <v/>
      </c>
      <c r="H21" s="26" t="str">
        <f t="shared" si="1"/>
        <v/>
      </c>
      <c r="I21" s="26" t="str">
        <f t="shared" si="2"/>
        <v/>
      </c>
      <c r="J21" s="66" t="str">
        <f t="shared" si="3"/>
        <v/>
      </c>
      <c r="K21" s="40"/>
      <c r="L21" s="28" t="str">
        <f t="shared" si="4"/>
        <v/>
      </c>
      <c r="M21" s="29" t="str">
        <f t="shared" si="5"/>
        <v/>
      </c>
      <c r="N21" s="67" t="str">
        <f t="shared" si="6"/>
        <v/>
      </c>
      <c r="O21" s="42"/>
      <c r="P21" s="42"/>
      <c r="Q21" s="42"/>
      <c r="R21" s="42"/>
      <c r="S21" s="74"/>
      <c r="T21" s="74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</row>
    <row r="22" spans="1:55" s="19" customFormat="1" ht="15.75">
      <c r="A22" s="37"/>
      <c r="B22" s="37"/>
      <c r="C22" s="37"/>
      <c r="D22" s="37"/>
      <c r="E22" s="37"/>
      <c r="F22" s="38"/>
      <c r="G22" s="26" t="str">
        <f t="shared" si="0"/>
        <v/>
      </c>
      <c r="H22" s="26" t="str">
        <f t="shared" si="1"/>
        <v/>
      </c>
      <c r="I22" s="26" t="str">
        <f t="shared" si="2"/>
        <v/>
      </c>
      <c r="J22" s="66" t="str">
        <f t="shared" si="3"/>
        <v/>
      </c>
      <c r="K22" s="40"/>
      <c r="L22" s="28" t="str">
        <f t="shared" si="4"/>
        <v/>
      </c>
      <c r="M22" s="29" t="str">
        <f t="shared" si="5"/>
        <v/>
      </c>
      <c r="N22" s="67" t="str">
        <f t="shared" si="6"/>
        <v/>
      </c>
      <c r="O22" s="42"/>
      <c r="P22" s="42"/>
      <c r="Q22" s="42"/>
      <c r="R22" s="42"/>
      <c r="S22" s="74"/>
      <c r="T22" s="74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</row>
    <row r="23" spans="1:55" s="19" customFormat="1" ht="15.75">
      <c r="A23" s="37"/>
      <c r="B23" s="37"/>
      <c r="C23" s="37"/>
      <c r="D23" s="37"/>
      <c r="E23" s="37"/>
      <c r="F23" s="38"/>
      <c r="G23" s="26" t="str">
        <f t="shared" si="0"/>
        <v/>
      </c>
      <c r="H23" s="26" t="str">
        <f t="shared" si="1"/>
        <v/>
      </c>
      <c r="I23" s="26" t="str">
        <f t="shared" si="2"/>
        <v/>
      </c>
      <c r="J23" s="66" t="str">
        <f t="shared" si="3"/>
        <v/>
      </c>
      <c r="K23" s="40"/>
      <c r="L23" s="28" t="str">
        <f t="shared" si="4"/>
        <v/>
      </c>
      <c r="M23" s="29" t="str">
        <f t="shared" si="5"/>
        <v/>
      </c>
      <c r="N23" s="67" t="str">
        <f t="shared" si="6"/>
        <v/>
      </c>
      <c r="O23" s="42"/>
      <c r="P23" s="42"/>
      <c r="Q23" s="42"/>
      <c r="R23" s="42"/>
      <c r="S23" s="74"/>
      <c r="T23" s="74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</row>
    <row r="24" spans="1:55" s="19" customFormat="1" ht="15.75">
      <c r="A24" s="37"/>
      <c r="B24" s="37"/>
      <c r="C24" s="37"/>
      <c r="D24" s="37"/>
      <c r="E24" s="37"/>
      <c r="F24" s="38"/>
      <c r="G24" s="26" t="str">
        <f t="shared" si="0"/>
        <v/>
      </c>
      <c r="H24" s="26" t="str">
        <f t="shared" si="1"/>
        <v/>
      </c>
      <c r="I24" s="26" t="str">
        <f t="shared" si="2"/>
        <v/>
      </c>
      <c r="J24" s="66" t="str">
        <f t="shared" si="3"/>
        <v/>
      </c>
      <c r="K24" s="40"/>
      <c r="L24" s="28" t="str">
        <f t="shared" si="4"/>
        <v/>
      </c>
      <c r="M24" s="29" t="str">
        <f t="shared" si="5"/>
        <v/>
      </c>
      <c r="N24" s="67" t="str">
        <f t="shared" si="6"/>
        <v/>
      </c>
      <c r="O24" s="42"/>
      <c r="P24" s="42"/>
      <c r="Q24" s="42"/>
      <c r="R24" s="42"/>
      <c r="S24" s="74"/>
      <c r="T24" s="74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</row>
    <row r="25" spans="1:55" s="19" customFormat="1" ht="15.75">
      <c r="A25" s="37"/>
      <c r="B25" s="37"/>
      <c r="C25" s="37"/>
      <c r="D25" s="37"/>
      <c r="E25" s="37"/>
      <c r="F25" s="38"/>
      <c r="G25" s="26" t="str">
        <f t="shared" si="0"/>
        <v/>
      </c>
      <c r="H25" s="26" t="str">
        <f t="shared" si="1"/>
        <v/>
      </c>
      <c r="I25" s="26" t="str">
        <f t="shared" si="2"/>
        <v/>
      </c>
      <c r="J25" s="66" t="str">
        <f t="shared" si="3"/>
        <v/>
      </c>
      <c r="K25" s="40"/>
      <c r="L25" s="28" t="str">
        <f t="shared" si="4"/>
        <v/>
      </c>
      <c r="M25" s="29" t="str">
        <f t="shared" si="5"/>
        <v/>
      </c>
      <c r="N25" s="67" t="str">
        <f t="shared" si="6"/>
        <v/>
      </c>
      <c r="O25" s="42"/>
      <c r="P25" s="42"/>
      <c r="Q25" s="42"/>
      <c r="R25" s="42"/>
      <c r="S25" s="74"/>
      <c r="T25" s="74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</row>
    <row r="26" spans="1:55" s="19" customFormat="1" ht="15.75">
      <c r="A26" s="37"/>
      <c r="B26" s="37"/>
      <c r="C26" s="37"/>
      <c r="D26" s="37"/>
      <c r="E26" s="37"/>
      <c r="F26" s="38"/>
      <c r="G26" s="26" t="str">
        <f t="shared" si="0"/>
        <v/>
      </c>
      <c r="H26" s="26" t="str">
        <f t="shared" si="1"/>
        <v/>
      </c>
      <c r="I26" s="26" t="str">
        <f t="shared" si="2"/>
        <v/>
      </c>
      <c r="J26" s="66" t="str">
        <f t="shared" si="3"/>
        <v/>
      </c>
      <c r="K26" s="40"/>
      <c r="L26" s="28" t="str">
        <f t="shared" si="4"/>
        <v/>
      </c>
      <c r="M26" s="29" t="str">
        <f t="shared" si="5"/>
        <v/>
      </c>
      <c r="N26" s="67" t="str">
        <f t="shared" si="6"/>
        <v/>
      </c>
      <c r="O26" s="42"/>
      <c r="P26" s="42"/>
      <c r="Q26" s="42"/>
      <c r="R26" s="42"/>
      <c r="S26" s="74"/>
      <c r="T26" s="74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</row>
    <row r="27" spans="1:55" s="19" customFormat="1" ht="15.75">
      <c r="A27" s="37"/>
      <c r="B27" s="37"/>
      <c r="C27" s="37"/>
      <c r="D27" s="37"/>
      <c r="E27" s="37"/>
      <c r="F27" s="38"/>
      <c r="G27" s="26" t="str">
        <f t="shared" si="0"/>
        <v/>
      </c>
      <c r="H27" s="26" t="str">
        <f t="shared" si="1"/>
        <v/>
      </c>
      <c r="I27" s="26" t="str">
        <f t="shared" si="2"/>
        <v/>
      </c>
      <c r="J27" s="66" t="str">
        <f t="shared" si="3"/>
        <v/>
      </c>
      <c r="K27" s="40"/>
      <c r="L27" s="28" t="str">
        <f t="shared" si="4"/>
        <v/>
      </c>
      <c r="M27" s="29" t="str">
        <f t="shared" si="5"/>
        <v/>
      </c>
      <c r="N27" s="67" t="str">
        <f t="shared" si="6"/>
        <v/>
      </c>
      <c r="O27" s="42"/>
      <c r="P27" s="42"/>
      <c r="Q27" s="42"/>
      <c r="R27" s="42"/>
      <c r="S27" s="74"/>
      <c r="T27" s="74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</row>
    <row r="28" spans="1:55" s="19" customFormat="1" ht="15.75">
      <c r="A28" s="37"/>
      <c r="B28" s="37"/>
      <c r="C28" s="37"/>
      <c r="D28" s="37"/>
      <c r="E28" s="37"/>
      <c r="F28" s="38"/>
      <c r="G28" s="26" t="str">
        <f t="shared" si="0"/>
        <v/>
      </c>
      <c r="H28" s="26" t="str">
        <f t="shared" si="1"/>
        <v/>
      </c>
      <c r="I28" s="26" t="str">
        <f t="shared" si="2"/>
        <v/>
      </c>
      <c r="J28" s="66" t="str">
        <f t="shared" si="3"/>
        <v/>
      </c>
      <c r="K28" s="40"/>
      <c r="L28" s="28" t="str">
        <f t="shared" si="4"/>
        <v/>
      </c>
      <c r="M28" s="29" t="str">
        <f t="shared" si="5"/>
        <v/>
      </c>
      <c r="N28" s="67" t="str">
        <f t="shared" si="6"/>
        <v/>
      </c>
      <c r="O28" s="42"/>
      <c r="P28" s="42"/>
      <c r="Q28" s="42"/>
      <c r="R28" s="42"/>
      <c r="S28" s="74"/>
      <c r="T28" s="74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</row>
    <row r="29" spans="1:55" s="19" customFormat="1" ht="15.75">
      <c r="A29" s="37"/>
      <c r="B29" s="37"/>
      <c r="C29" s="37"/>
      <c r="D29" s="37"/>
      <c r="E29" s="37"/>
      <c r="F29" s="38"/>
      <c r="G29" s="26" t="str">
        <f t="shared" si="0"/>
        <v/>
      </c>
      <c r="H29" s="26" t="str">
        <f t="shared" si="1"/>
        <v/>
      </c>
      <c r="I29" s="26" t="str">
        <f t="shared" si="2"/>
        <v/>
      </c>
      <c r="J29" s="66" t="str">
        <f t="shared" si="3"/>
        <v/>
      </c>
      <c r="K29" s="40"/>
      <c r="L29" s="28" t="str">
        <f t="shared" si="4"/>
        <v/>
      </c>
      <c r="M29" s="29" t="str">
        <f t="shared" si="5"/>
        <v/>
      </c>
      <c r="N29" s="67" t="str">
        <f t="shared" si="6"/>
        <v/>
      </c>
      <c r="O29" s="42"/>
      <c r="P29" s="42"/>
      <c r="Q29" s="42"/>
      <c r="R29" s="42"/>
      <c r="S29" s="74"/>
      <c r="T29" s="74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</row>
    <row r="30" spans="1:55" s="19" customFormat="1" ht="15.75">
      <c r="A30" s="37"/>
      <c r="B30" s="37"/>
      <c r="C30" s="37"/>
      <c r="D30" s="37"/>
      <c r="E30" s="37"/>
      <c r="F30" s="38"/>
      <c r="G30" s="26" t="str">
        <f t="shared" si="0"/>
        <v/>
      </c>
      <c r="H30" s="26" t="str">
        <f t="shared" si="1"/>
        <v/>
      </c>
      <c r="I30" s="26" t="str">
        <f t="shared" si="2"/>
        <v/>
      </c>
      <c r="J30" s="66" t="str">
        <f t="shared" si="3"/>
        <v/>
      </c>
      <c r="K30" s="40"/>
      <c r="L30" s="28" t="str">
        <f t="shared" si="4"/>
        <v/>
      </c>
      <c r="M30" s="29" t="str">
        <f t="shared" si="5"/>
        <v/>
      </c>
      <c r="N30" s="67" t="str">
        <f t="shared" si="6"/>
        <v/>
      </c>
      <c r="O30" s="42"/>
      <c r="P30" s="42"/>
      <c r="Q30" s="42"/>
      <c r="R30" s="42"/>
      <c r="S30" s="74"/>
      <c r="T30" s="74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</row>
    <row r="31" spans="1:55" s="19" customFormat="1" ht="15.75">
      <c r="A31" s="37"/>
      <c r="B31" s="37"/>
      <c r="C31" s="37"/>
      <c r="D31" s="37"/>
      <c r="E31" s="37"/>
      <c r="F31" s="38"/>
      <c r="G31" s="26" t="str">
        <f t="shared" si="0"/>
        <v/>
      </c>
      <c r="H31" s="26" t="str">
        <f t="shared" si="1"/>
        <v/>
      </c>
      <c r="I31" s="26" t="str">
        <f t="shared" si="2"/>
        <v/>
      </c>
      <c r="J31" s="66" t="str">
        <f t="shared" si="3"/>
        <v/>
      </c>
      <c r="K31" s="40"/>
      <c r="L31" s="28" t="str">
        <f t="shared" si="4"/>
        <v/>
      </c>
      <c r="M31" s="29" t="str">
        <f t="shared" si="5"/>
        <v/>
      </c>
      <c r="N31" s="67" t="str">
        <f t="shared" si="6"/>
        <v/>
      </c>
      <c r="O31" s="42"/>
      <c r="P31" s="42"/>
      <c r="Q31" s="42"/>
      <c r="R31" s="42"/>
      <c r="S31" s="74"/>
      <c r="T31" s="74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</row>
    <row r="32" spans="1:55" s="19" customFormat="1" ht="15.75">
      <c r="A32" s="37"/>
      <c r="B32" s="37"/>
      <c r="C32" s="37"/>
      <c r="D32" s="37"/>
      <c r="E32" s="37"/>
      <c r="F32" s="38"/>
      <c r="G32" s="26" t="str">
        <f t="shared" si="0"/>
        <v/>
      </c>
      <c r="H32" s="26" t="str">
        <f t="shared" si="1"/>
        <v/>
      </c>
      <c r="I32" s="26" t="str">
        <f t="shared" si="2"/>
        <v/>
      </c>
      <c r="J32" s="66" t="str">
        <f t="shared" si="3"/>
        <v/>
      </c>
      <c r="K32" s="40"/>
      <c r="L32" s="28" t="str">
        <f t="shared" si="4"/>
        <v/>
      </c>
      <c r="M32" s="29" t="str">
        <f t="shared" si="5"/>
        <v/>
      </c>
      <c r="N32" s="67" t="str">
        <f t="shared" si="6"/>
        <v/>
      </c>
      <c r="O32" s="42"/>
      <c r="P32" s="42"/>
      <c r="Q32" s="42"/>
      <c r="R32" s="42"/>
      <c r="S32" s="74"/>
      <c r="T32" s="74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</row>
    <row r="33" spans="1:55" s="19" customFormat="1" ht="15.75">
      <c r="A33" s="37"/>
      <c r="B33" s="37"/>
      <c r="C33" s="37"/>
      <c r="D33" s="37"/>
      <c r="E33" s="37"/>
      <c r="F33" s="38"/>
      <c r="G33" s="26" t="str">
        <f t="shared" si="0"/>
        <v/>
      </c>
      <c r="H33" s="26" t="str">
        <f t="shared" si="1"/>
        <v/>
      </c>
      <c r="I33" s="26" t="str">
        <f t="shared" si="2"/>
        <v/>
      </c>
      <c r="J33" s="66" t="str">
        <f t="shared" si="3"/>
        <v/>
      </c>
      <c r="K33" s="40"/>
      <c r="L33" s="28" t="str">
        <f t="shared" si="4"/>
        <v/>
      </c>
      <c r="M33" s="29" t="str">
        <f t="shared" si="5"/>
        <v/>
      </c>
      <c r="N33" s="67" t="str">
        <f t="shared" si="6"/>
        <v/>
      </c>
      <c r="O33" s="42"/>
      <c r="P33" s="42"/>
      <c r="Q33" s="42"/>
      <c r="R33" s="42"/>
      <c r="S33" s="74"/>
      <c r="T33" s="74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</row>
    <row r="34" spans="1:55" s="19" customFormat="1" ht="15.75">
      <c r="A34" s="37"/>
      <c r="B34" s="37"/>
      <c r="C34" s="37"/>
      <c r="D34" s="37"/>
      <c r="E34" s="37"/>
      <c r="F34" s="38"/>
      <c r="G34" s="26" t="str">
        <f t="shared" si="0"/>
        <v/>
      </c>
      <c r="H34" s="26" t="str">
        <f t="shared" si="1"/>
        <v/>
      </c>
      <c r="I34" s="26" t="str">
        <f t="shared" si="2"/>
        <v/>
      </c>
      <c r="J34" s="66" t="str">
        <f t="shared" si="3"/>
        <v/>
      </c>
      <c r="K34" s="40"/>
      <c r="L34" s="28" t="str">
        <f t="shared" si="4"/>
        <v/>
      </c>
      <c r="M34" s="29" t="str">
        <f t="shared" si="5"/>
        <v/>
      </c>
      <c r="N34" s="67" t="str">
        <f t="shared" si="6"/>
        <v/>
      </c>
      <c r="O34" s="42"/>
      <c r="P34" s="42"/>
      <c r="Q34" s="42"/>
      <c r="R34" s="42"/>
      <c r="S34" s="74"/>
      <c r="T34" s="74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</row>
    <row r="35" spans="1:55" s="19" customFormat="1" ht="15.75">
      <c r="A35" s="37"/>
      <c r="B35" s="37"/>
      <c r="C35" s="37"/>
      <c r="D35" s="37"/>
      <c r="E35" s="37"/>
      <c r="F35" s="38"/>
      <c r="G35" s="26" t="str">
        <f t="shared" si="0"/>
        <v/>
      </c>
      <c r="H35" s="26" t="str">
        <f t="shared" si="1"/>
        <v/>
      </c>
      <c r="I35" s="26" t="str">
        <f t="shared" si="2"/>
        <v/>
      </c>
      <c r="J35" s="66" t="str">
        <f t="shared" si="3"/>
        <v/>
      </c>
      <c r="K35" s="40"/>
      <c r="L35" s="28" t="str">
        <f t="shared" si="4"/>
        <v/>
      </c>
      <c r="M35" s="29" t="str">
        <f t="shared" si="5"/>
        <v/>
      </c>
      <c r="N35" s="67" t="str">
        <f t="shared" si="6"/>
        <v/>
      </c>
      <c r="O35" s="42"/>
      <c r="P35" s="42"/>
      <c r="Q35" s="42"/>
      <c r="R35" s="42"/>
      <c r="S35" s="74"/>
      <c r="T35" s="74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</row>
    <row r="36" spans="1:55" s="16" customFormat="1"/>
    <row r="37" spans="1:55" s="16" customFormat="1" ht="20.100000000000001" customHeight="1">
      <c r="A37" s="78" t="s">
        <v>18</v>
      </c>
      <c r="B37" s="79"/>
      <c r="C37" s="79"/>
      <c r="E37" s="81" t="s">
        <v>19</v>
      </c>
      <c r="F37" s="82"/>
      <c r="G37" s="83"/>
    </row>
    <row r="38" spans="1:55" s="16" customFormat="1" ht="15.75">
      <c r="A38" s="17"/>
      <c r="B38" s="80" t="s">
        <v>30</v>
      </c>
      <c r="C38" s="80"/>
      <c r="E38" s="31" t="s">
        <v>20</v>
      </c>
      <c r="F38" s="84"/>
      <c r="G38" s="85"/>
    </row>
    <row r="39" spans="1:55" s="16" customFormat="1" ht="15.75">
      <c r="A39" s="30"/>
      <c r="B39" s="80" t="s">
        <v>31</v>
      </c>
      <c r="C39" s="80"/>
      <c r="E39" s="32" t="s">
        <v>40</v>
      </c>
      <c r="F39" s="86">
        <f>F38/2.205</f>
        <v>0</v>
      </c>
      <c r="G39" s="87"/>
    </row>
    <row r="40" spans="1:55"/>
    <row r="41" spans="1:55"/>
    <row r="42" spans="1:55"/>
    <row r="43" spans="1:55"/>
    <row r="44" spans="1:55"/>
    <row r="45" spans="1:55"/>
  </sheetData>
  <sheetProtection algorithmName="SHA-512" hashValue="1TEfznYyW2+73ED0uU07laAm4//x3yn4wTTh0GXF+oSLBbMqqnDENKG6XXiMlojawSIqGGZj52UBUvHvRQed0w==" saltValue="r8zF2dPt6cCLFcdqcJJ01w==" spinCount="100000" sheet="1" objects="1" scenarios="1"/>
  <mergeCells count="34">
    <mergeCell ref="B38:C38"/>
    <mergeCell ref="B39:C39"/>
    <mergeCell ref="E37:G37"/>
    <mergeCell ref="F38:G38"/>
    <mergeCell ref="F39:G39"/>
    <mergeCell ref="S35:T35"/>
    <mergeCell ref="A37:C37"/>
    <mergeCell ref="S29:T29"/>
    <mergeCell ref="S30:T30"/>
    <mergeCell ref="S31:T31"/>
    <mergeCell ref="S32:T32"/>
    <mergeCell ref="S33:T33"/>
    <mergeCell ref="S34:T34"/>
    <mergeCell ref="S28:T28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16:T16"/>
    <mergeCell ref="S9:T9"/>
    <mergeCell ref="K7:K8"/>
    <mergeCell ref="S10:T10"/>
    <mergeCell ref="S11:T11"/>
    <mergeCell ref="S12:T12"/>
    <mergeCell ref="S13:T13"/>
    <mergeCell ref="S14:T14"/>
    <mergeCell ref="S15:T15"/>
  </mergeCells>
  <dataValidations count="6">
    <dataValidation type="whole" allowBlank="1" showInputMessage="1" showErrorMessage="1" sqref="B10:B35">
      <formula1>20</formula1>
      <formula2>480</formula2>
    </dataValidation>
    <dataValidation type="decimal" allowBlank="1" showInputMessage="1" showErrorMessage="1" sqref="C10:D35">
      <formula1>40</formula1>
      <formula2>300</formula2>
    </dataValidation>
    <dataValidation type="decimal" allowBlank="1" showInputMessage="1" showErrorMessage="1" sqref="E10:F35">
      <formula1>0</formula1>
      <formula2>20</formula2>
    </dataValidation>
    <dataValidation type="whole" allowBlank="1" showInputMessage="1" showErrorMessage="1" sqref="K10:K35">
      <formula1>200</formula1>
      <formula2>3000</formula2>
    </dataValidation>
    <dataValidation type="date" allowBlank="1" showInputMessage="1" showErrorMessage="1" sqref="O10:O35">
      <formula1>36526</formula1>
      <formula2>401769</formula2>
    </dataValidation>
    <dataValidation type="decimal" allowBlank="1" showInputMessage="1" showErrorMessage="1" sqref="P10:P35">
      <formula1>-100</formula1>
      <formula2>500</formula2>
    </dataValidation>
  </dataValidations>
  <hyperlinks>
    <hyperlink ref="K9" r:id="rId1"/>
    <hyperlink ref="N9" r:id="rId2"/>
  </hyperlinks>
  <pageMargins left="0.7" right="0.7" top="0.75" bottom="0.75" header="0.3" footer="0.3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61"/>
  <sheetViews>
    <sheetView showGridLines="0" tabSelected="1" zoomScale="90" zoomScaleNormal="90" workbookViewId="0">
      <selection activeCell="N49" sqref="A1:N49"/>
    </sheetView>
  </sheetViews>
  <sheetFormatPr defaultColWidth="0" defaultRowHeight="15" zeroHeight="1"/>
  <cols>
    <col min="1" max="8" width="10.77734375" style="48" customWidth="1"/>
    <col min="9" max="13" width="18.77734375" style="48" customWidth="1"/>
    <col min="14" max="14" width="12.6640625" style="48" customWidth="1"/>
    <col min="15" max="16376" width="10.77734375" style="48" hidden="1"/>
    <col min="16377" max="16377" width="10.33203125" style="48" hidden="1"/>
    <col min="16378" max="16378" width="19" style="48" hidden="1"/>
    <col min="16379" max="16381" width="10.77734375" style="48" hidden="1"/>
    <col min="16382" max="16382" width="10.33203125" style="48" hidden="1"/>
    <col min="16383" max="16383" width="19" style="48" hidden="1"/>
    <col min="16384" max="16384" width="10.77734375" style="48" hidden="1"/>
  </cols>
  <sheetData>
    <row r="1" spans="1:14" ht="15.95" customHeight="1">
      <c r="A1" s="47"/>
      <c r="B1" s="47"/>
      <c r="C1" s="47"/>
      <c r="D1" s="58"/>
      <c r="E1" s="58"/>
      <c r="F1" s="58"/>
      <c r="G1" s="58"/>
      <c r="H1" s="58"/>
      <c r="I1" s="58"/>
      <c r="J1" s="58"/>
      <c r="K1" s="47"/>
      <c r="L1" s="47"/>
      <c r="M1" s="47"/>
      <c r="N1" s="47"/>
    </row>
    <row r="2" spans="1:14" ht="15.95" customHeight="1">
      <c r="A2" s="47"/>
      <c r="B2" s="47"/>
      <c r="C2" s="47"/>
      <c r="D2" s="58"/>
      <c r="E2" s="58"/>
      <c r="F2" s="58"/>
      <c r="G2" s="58"/>
      <c r="H2" s="58"/>
      <c r="I2" s="58"/>
      <c r="J2" s="58"/>
      <c r="K2" s="47"/>
      <c r="L2" s="47"/>
      <c r="M2" s="47"/>
      <c r="N2" s="47"/>
    </row>
    <row r="3" spans="1:14" ht="18.95" customHeight="1">
      <c r="A3" s="49"/>
      <c r="B3" s="49"/>
      <c r="C3" s="49"/>
      <c r="D3" s="59"/>
      <c r="E3" s="59"/>
      <c r="F3" s="59"/>
      <c r="G3" s="59"/>
      <c r="H3" s="59"/>
      <c r="I3" s="59"/>
      <c r="J3" s="59"/>
      <c r="K3" s="49"/>
      <c r="L3" s="49"/>
      <c r="M3" s="49"/>
      <c r="N3" s="49"/>
    </row>
    <row r="4" spans="1:14" ht="18.95" customHeight="1">
      <c r="A4" s="49"/>
      <c r="B4" s="49"/>
      <c r="C4" s="49"/>
      <c r="D4" s="59"/>
      <c r="E4" s="59"/>
      <c r="F4" s="59"/>
      <c r="G4" s="59"/>
      <c r="H4" s="59"/>
      <c r="I4" s="59"/>
      <c r="J4" s="59"/>
      <c r="K4" s="49"/>
      <c r="L4" s="49"/>
      <c r="M4" s="49"/>
      <c r="N4" s="49"/>
    </row>
    <row r="5" spans="1:14" ht="15.95" customHeight="1">
      <c r="A5" s="50"/>
      <c r="B5" s="50"/>
      <c r="C5" s="50"/>
      <c r="D5" s="43"/>
      <c r="E5" s="43"/>
      <c r="F5" s="43"/>
      <c r="G5" s="43"/>
      <c r="H5" s="43"/>
      <c r="I5" s="43"/>
      <c r="J5" s="43"/>
      <c r="K5" s="50"/>
      <c r="L5" s="50"/>
      <c r="M5" s="50"/>
      <c r="N5" s="50"/>
    </row>
    <row r="6" spans="1:14" ht="15.95" customHeight="1">
      <c r="A6" s="50"/>
      <c r="B6" s="50"/>
      <c r="C6" s="50"/>
      <c r="D6" s="43"/>
      <c r="E6" s="43"/>
      <c r="F6" s="43"/>
      <c r="G6" s="43"/>
      <c r="H6" s="43"/>
      <c r="I6" s="43"/>
      <c r="J6" s="43"/>
      <c r="K6" s="50"/>
      <c r="L6" s="50"/>
      <c r="M6" s="50"/>
      <c r="N6" s="50"/>
    </row>
    <row r="7" spans="1:14" ht="15.95" customHeight="1">
      <c r="A7" s="51"/>
      <c r="B7" s="51"/>
      <c r="C7" s="51"/>
      <c r="D7" s="44"/>
      <c r="E7" s="44"/>
      <c r="F7" s="44"/>
      <c r="G7" s="44"/>
      <c r="H7" s="44"/>
      <c r="I7" s="44"/>
      <c r="J7" s="44"/>
      <c r="K7" s="91"/>
      <c r="L7" s="51"/>
      <c r="M7" s="51"/>
      <c r="N7" s="51"/>
    </row>
    <row r="8" spans="1:14" ht="15.95" customHeight="1">
      <c r="A8" s="51"/>
      <c r="B8" s="51"/>
      <c r="C8" s="51"/>
      <c r="D8" s="44"/>
      <c r="E8" s="44"/>
      <c r="F8" s="44"/>
      <c r="G8" s="44"/>
      <c r="H8" s="44"/>
      <c r="I8" s="44"/>
      <c r="J8" s="44"/>
      <c r="K8" s="91"/>
      <c r="L8" s="51"/>
      <c r="M8" s="51"/>
      <c r="N8" s="51"/>
    </row>
    <row r="9" spans="1:14" ht="18.95" customHeight="1">
      <c r="A9" s="52"/>
      <c r="B9" s="20"/>
      <c r="C9" s="21"/>
      <c r="D9" s="94" t="s">
        <v>5</v>
      </c>
      <c r="E9" s="95"/>
      <c r="F9" s="94" t="s">
        <v>34</v>
      </c>
      <c r="G9" s="95"/>
      <c r="I9" s="109" t="s">
        <v>35</v>
      </c>
      <c r="J9" s="110"/>
      <c r="K9" s="110"/>
      <c r="L9" s="110"/>
      <c r="M9" s="111"/>
    </row>
    <row r="10" spans="1:14" ht="18.95" customHeight="1">
      <c r="A10" s="92" t="s">
        <v>21</v>
      </c>
      <c r="B10" s="92"/>
      <c r="C10" s="92"/>
      <c r="D10" s="89">
        <f>AVERAGE(Calculator!J10:J35)</f>
        <v>1.8916666666666682</v>
      </c>
      <c r="E10" s="90"/>
      <c r="F10" s="96">
        <f>AVERAGE(Calculator!P10:P35)</f>
        <v>32</v>
      </c>
      <c r="G10" s="96"/>
      <c r="I10" s="112"/>
      <c r="J10" s="113"/>
      <c r="K10" s="113"/>
      <c r="L10" s="113"/>
      <c r="M10" s="114"/>
      <c r="N10" s="45"/>
    </row>
    <row r="11" spans="1:14" ht="15.75">
      <c r="A11" s="93" t="s">
        <v>22</v>
      </c>
      <c r="B11" s="93"/>
      <c r="C11" s="93"/>
      <c r="D11" s="89">
        <f>MIN(Calculator!J10:J35)</f>
        <v>1.8333333333333333</v>
      </c>
      <c r="E11" s="90"/>
      <c r="F11" s="96">
        <f>VLOOKUP(D11,Calculator!J10:P35,7,FALSE)</f>
        <v>28</v>
      </c>
      <c r="G11" s="96"/>
      <c r="I11" s="115"/>
      <c r="J11" s="116"/>
      <c r="K11" s="116"/>
      <c r="L11" s="116"/>
      <c r="M11" s="117"/>
      <c r="N11" s="45"/>
    </row>
    <row r="12" spans="1:14" ht="18.95" customHeight="1">
      <c r="A12" s="93" t="s">
        <v>23</v>
      </c>
      <c r="B12" s="93"/>
      <c r="C12" s="93"/>
      <c r="D12" s="89">
        <f>MAX(Calculator!J10:J35)</f>
        <v>1.9500000000000031</v>
      </c>
      <c r="E12" s="90"/>
      <c r="F12" s="96">
        <f>VLOOKUP(D12,Calculator!J10:P35,7,FALSE)</f>
        <v>36</v>
      </c>
      <c r="G12" s="96"/>
      <c r="I12" s="118" t="s">
        <v>28</v>
      </c>
      <c r="J12" s="119"/>
      <c r="K12" s="120"/>
      <c r="L12" s="63">
        <v>62</v>
      </c>
      <c r="N12" s="53"/>
    </row>
    <row r="13" spans="1:14" ht="18.95" customHeight="1">
      <c r="A13" s="22"/>
      <c r="B13" s="22"/>
      <c r="C13" s="22"/>
      <c r="D13" s="54"/>
      <c r="E13" s="55"/>
      <c r="F13" s="56"/>
      <c r="G13" s="56"/>
      <c r="I13" s="118" t="s">
        <v>37</v>
      </c>
      <c r="J13" s="119"/>
      <c r="K13" s="120"/>
      <c r="L13" s="63">
        <v>6</v>
      </c>
      <c r="N13" s="53"/>
    </row>
    <row r="14" spans="1:14">
      <c r="A14" s="22"/>
      <c r="B14" s="22"/>
      <c r="C14" s="22"/>
      <c r="D14" s="54"/>
      <c r="E14" s="55"/>
      <c r="F14" s="56"/>
      <c r="G14" s="56"/>
      <c r="L14" s="53"/>
      <c r="N14" s="53"/>
    </row>
    <row r="15" spans="1:14" ht="31.5">
      <c r="I15" s="46" t="s">
        <v>24</v>
      </c>
      <c r="J15" s="46" t="s">
        <v>26</v>
      </c>
      <c r="K15" s="46" t="s">
        <v>27</v>
      </c>
      <c r="L15" s="46" t="s">
        <v>25</v>
      </c>
      <c r="M15" s="46" t="s">
        <v>11</v>
      </c>
      <c r="N15" s="53"/>
    </row>
    <row r="16" spans="1:14">
      <c r="I16" s="60">
        <v>1</v>
      </c>
      <c r="J16" s="62">
        <v>1.83</v>
      </c>
      <c r="K16" s="62">
        <v>0.5</v>
      </c>
      <c r="L16" s="61">
        <f>$L$12-(J16-K16)</f>
        <v>60.67</v>
      </c>
      <c r="M16" s="57">
        <f t="shared" ref="M16:M39" si="0">($L$12-L16)/$L$12</f>
        <v>2.1451612903225777E-2</v>
      </c>
      <c r="N16" s="53"/>
    </row>
    <row r="17" spans="1:14">
      <c r="I17" s="60">
        <v>2</v>
      </c>
      <c r="J17" s="62">
        <v>1.89</v>
      </c>
      <c r="K17" s="62">
        <v>0.75</v>
      </c>
      <c r="L17" s="61">
        <f t="shared" ref="L17:L39" si="1">L16-(J17-K17)</f>
        <v>59.53</v>
      </c>
      <c r="M17" s="57">
        <f t="shared" si="0"/>
        <v>3.9838709677419336E-2</v>
      </c>
      <c r="N17" s="53"/>
    </row>
    <row r="18" spans="1:14">
      <c r="I18" s="60">
        <v>3</v>
      </c>
      <c r="J18" s="62">
        <v>1.89</v>
      </c>
      <c r="K18" s="62">
        <v>0.75</v>
      </c>
      <c r="L18" s="61">
        <f t="shared" si="1"/>
        <v>58.39</v>
      </c>
      <c r="M18" s="57">
        <f t="shared" si="0"/>
        <v>5.8225806451612891E-2</v>
      </c>
      <c r="N18" s="53"/>
    </row>
    <row r="19" spans="1:14">
      <c r="I19" s="60">
        <v>4</v>
      </c>
      <c r="J19" s="62">
        <v>1.95</v>
      </c>
      <c r="K19" s="62">
        <v>0.75</v>
      </c>
      <c r="L19" s="61">
        <f t="shared" si="1"/>
        <v>57.19</v>
      </c>
      <c r="M19" s="57">
        <f t="shared" si="0"/>
        <v>7.758064516129036E-2</v>
      </c>
      <c r="N19" s="53"/>
    </row>
    <row r="20" spans="1:14">
      <c r="I20" s="60">
        <v>5</v>
      </c>
      <c r="J20" s="62">
        <v>1.95</v>
      </c>
      <c r="K20" s="62">
        <v>0.5</v>
      </c>
      <c r="L20" s="61">
        <f t="shared" si="1"/>
        <v>55.739999999999995</v>
      </c>
      <c r="M20" s="57">
        <f t="shared" si="0"/>
        <v>0.10096774193548395</v>
      </c>
      <c r="N20" s="53"/>
    </row>
    <row r="21" spans="1:14">
      <c r="I21" s="60">
        <v>6</v>
      </c>
      <c r="J21" s="62">
        <v>1.95</v>
      </c>
      <c r="K21" s="62">
        <v>0.5</v>
      </c>
      <c r="L21" s="61">
        <f t="shared" si="1"/>
        <v>54.289999999999992</v>
      </c>
      <c r="M21" s="57">
        <f t="shared" si="0"/>
        <v>0.12435483870967755</v>
      </c>
      <c r="N21" s="53"/>
    </row>
    <row r="22" spans="1:14">
      <c r="I22" s="60">
        <v>7</v>
      </c>
      <c r="J22" s="62">
        <v>1.5</v>
      </c>
      <c r="K22" s="62">
        <v>0.75</v>
      </c>
      <c r="L22" s="61">
        <f t="shared" si="1"/>
        <v>53.539999999999992</v>
      </c>
      <c r="M22" s="57">
        <f t="shared" si="0"/>
        <v>0.13645161290322594</v>
      </c>
      <c r="N22" s="53"/>
    </row>
    <row r="23" spans="1:14">
      <c r="I23" s="60">
        <v>8</v>
      </c>
      <c r="J23" s="62">
        <v>1.5</v>
      </c>
      <c r="K23" s="62">
        <v>0.75</v>
      </c>
      <c r="L23" s="61">
        <f t="shared" si="1"/>
        <v>52.789999999999992</v>
      </c>
      <c r="M23" s="57">
        <f t="shared" si="0"/>
        <v>0.14854838709677431</v>
      </c>
      <c r="N23" s="53"/>
    </row>
    <row r="24" spans="1:14">
      <c r="I24" s="60">
        <v>9</v>
      </c>
      <c r="J24" s="62">
        <v>1.5</v>
      </c>
      <c r="K24" s="62">
        <v>0.75</v>
      </c>
      <c r="L24" s="61">
        <f t="shared" si="1"/>
        <v>52.039999999999992</v>
      </c>
      <c r="M24" s="57">
        <f t="shared" si="0"/>
        <v>0.16064516129032272</v>
      </c>
      <c r="N24" s="53"/>
    </row>
    <row r="25" spans="1:14">
      <c r="I25" s="60">
        <v>10</v>
      </c>
      <c r="J25" s="62">
        <v>1.5</v>
      </c>
      <c r="K25" s="62">
        <v>0.75</v>
      </c>
      <c r="L25" s="61">
        <f t="shared" si="1"/>
        <v>51.289999999999992</v>
      </c>
      <c r="M25" s="57">
        <f t="shared" si="0"/>
        <v>0.1727419354838711</v>
      </c>
      <c r="N25" s="53"/>
    </row>
    <row r="26" spans="1:14">
      <c r="I26" s="60">
        <v>11</v>
      </c>
      <c r="J26" s="62"/>
      <c r="K26" s="62"/>
      <c r="L26" s="61">
        <f t="shared" si="1"/>
        <v>51.289999999999992</v>
      </c>
      <c r="M26" s="57">
        <f t="shared" si="0"/>
        <v>0.1727419354838711</v>
      </c>
      <c r="N26" s="53"/>
    </row>
    <row r="27" spans="1:14">
      <c r="I27" s="60">
        <v>12</v>
      </c>
      <c r="J27" s="62"/>
      <c r="K27" s="62"/>
      <c r="L27" s="61">
        <f t="shared" si="1"/>
        <v>51.289999999999992</v>
      </c>
      <c r="M27" s="57">
        <f t="shared" si="0"/>
        <v>0.1727419354838711</v>
      </c>
      <c r="N27" s="53"/>
    </row>
    <row r="28" spans="1:14" ht="20.100000000000001" customHeight="1">
      <c r="A28" s="81" t="s">
        <v>18</v>
      </c>
      <c r="B28" s="82"/>
      <c r="C28" s="82"/>
      <c r="D28" s="82"/>
      <c r="E28" s="82"/>
      <c r="F28" s="82"/>
      <c r="G28" s="83"/>
      <c r="I28" s="60">
        <v>13</v>
      </c>
      <c r="J28" s="62"/>
      <c r="K28" s="62"/>
      <c r="L28" s="61">
        <f t="shared" si="1"/>
        <v>51.289999999999992</v>
      </c>
      <c r="M28" s="57">
        <f t="shared" si="0"/>
        <v>0.1727419354838711</v>
      </c>
      <c r="N28" s="53"/>
    </row>
    <row r="29" spans="1:14">
      <c r="A29" s="121"/>
      <c r="B29" s="102" t="s">
        <v>36</v>
      </c>
      <c r="C29" s="103"/>
      <c r="D29" s="103"/>
      <c r="E29" s="103"/>
      <c r="F29" s="103"/>
      <c r="G29" s="104"/>
      <c r="I29" s="60">
        <v>14</v>
      </c>
      <c r="J29" s="62"/>
      <c r="K29" s="62"/>
      <c r="L29" s="61">
        <f t="shared" si="1"/>
        <v>51.289999999999992</v>
      </c>
      <c r="M29" s="57">
        <f t="shared" si="0"/>
        <v>0.1727419354838711</v>
      </c>
      <c r="N29" s="53"/>
    </row>
    <row r="30" spans="1:14">
      <c r="A30" s="122"/>
      <c r="B30" s="105"/>
      <c r="C30" s="106"/>
      <c r="D30" s="106"/>
      <c r="E30" s="106"/>
      <c r="F30" s="106"/>
      <c r="G30" s="107"/>
      <c r="I30" s="60">
        <v>15</v>
      </c>
      <c r="J30" s="62"/>
      <c r="K30" s="62"/>
      <c r="L30" s="61">
        <f t="shared" si="1"/>
        <v>51.289999999999992</v>
      </c>
      <c r="M30" s="57">
        <f t="shared" si="0"/>
        <v>0.1727419354838711</v>
      </c>
      <c r="N30" s="53"/>
    </row>
    <row r="31" spans="1:14">
      <c r="A31" s="97"/>
      <c r="B31" s="102" t="s">
        <v>41</v>
      </c>
      <c r="C31" s="103"/>
      <c r="D31" s="103"/>
      <c r="E31" s="103"/>
      <c r="F31" s="103"/>
      <c r="G31" s="104"/>
      <c r="I31" s="60">
        <v>16</v>
      </c>
      <c r="J31" s="62"/>
      <c r="K31" s="62"/>
      <c r="L31" s="61">
        <f t="shared" si="1"/>
        <v>51.289999999999992</v>
      </c>
      <c r="M31" s="57">
        <f t="shared" si="0"/>
        <v>0.1727419354838711</v>
      </c>
      <c r="N31" s="53"/>
    </row>
    <row r="32" spans="1:14" ht="18.95" customHeight="1">
      <c r="A32" s="98"/>
      <c r="B32" s="105"/>
      <c r="C32" s="106"/>
      <c r="D32" s="106"/>
      <c r="E32" s="106"/>
      <c r="F32" s="106"/>
      <c r="G32" s="107"/>
      <c r="I32" s="60">
        <v>17</v>
      </c>
      <c r="J32" s="62"/>
      <c r="K32" s="62"/>
      <c r="L32" s="61">
        <f t="shared" si="1"/>
        <v>51.289999999999992</v>
      </c>
      <c r="M32" s="57">
        <f t="shared" si="0"/>
        <v>0.1727419354838711</v>
      </c>
      <c r="N32" s="53"/>
    </row>
    <row r="33" spans="1:14" ht="15.95" customHeight="1">
      <c r="A33" s="99"/>
      <c r="B33" s="102" t="s">
        <v>32</v>
      </c>
      <c r="C33" s="103"/>
      <c r="D33" s="103"/>
      <c r="E33" s="103"/>
      <c r="F33" s="103"/>
      <c r="G33" s="104"/>
      <c r="I33" s="60">
        <v>18</v>
      </c>
      <c r="J33" s="62"/>
      <c r="K33" s="62"/>
      <c r="L33" s="61">
        <f t="shared" si="1"/>
        <v>51.289999999999992</v>
      </c>
      <c r="M33" s="57">
        <f t="shared" si="0"/>
        <v>0.1727419354838711</v>
      </c>
      <c r="N33" s="53"/>
    </row>
    <row r="34" spans="1:14" ht="18.95" customHeight="1">
      <c r="A34" s="99"/>
      <c r="B34" s="105"/>
      <c r="C34" s="106"/>
      <c r="D34" s="106"/>
      <c r="E34" s="106"/>
      <c r="F34" s="106"/>
      <c r="G34" s="107"/>
      <c r="I34" s="60">
        <v>19</v>
      </c>
      <c r="J34" s="62"/>
      <c r="K34" s="62"/>
      <c r="L34" s="61">
        <f t="shared" si="1"/>
        <v>51.289999999999992</v>
      </c>
      <c r="M34" s="57">
        <f t="shared" si="0"/>
        <v>0.1727419354838711</v>
      </c>
      <c r="N34" s="53"/>
    </row>
    <row r="35" spans="1:14" s="55" customFormat="1" ht="18.95" customHeight="1">
      <c r="A35" s="100"/>
      <c r="B35" s="102" t="s">
        <v>33</v>
      </c>
      <c r="C35" s="103"/>
      <c r="D35" s="103"/>
      <c r="E35" s="103"/>
      <c r="F35" s="103"/>
      <c r="G35" s="104"/>
      <c r="H35" s="45"/>
      <c r="I35" s="60">
        <v>20</v>
      </c>
      <c r="J35" s="62"/>
      <c r="K35" s="62"/>
      <c r="L35" s="61">
        <f t="shared" si="1"/>
        <v>51.289999999999992</v>
      </c>
      <c r="M35" s="57">
        <f t="shared" si="0"/>
        <v>0.1727419354838711</v>
      </c>
      <c r="N35" s="53"/>
    </row>
    <row r="36" spans="1:14" s="55" customFormat="1" ht="24" customHeight="1">
      <c r="A36" s="101"/>
      <c r="B36" s="105"/>
      <c r="C36" s="108"/>
      <c r="D36" s="106"/>
      <c r="E36" s="106"/>
      <c r="F36" s="106"/>
      <c r="G36" s="107"/>
      <c r="H36" s="45"/>
      <c r="I36" s="60">
        <v>21</v>
      </c>
      <c r="J36" s="62"/>
      <c r="K36" s="62"/>
      <c r="L36" s="61">
        <f t="shared" si="1"/>
        <v>51.289999999999992</v>
      </c>
      <c r="M36" s="57">
        <f t="shared" si="0"/>
        <v>0.1727419354838711</v>
      </c>
      <c r="N36" s="53"/>
    </row>
    <row r="37" spans="1:14">
      <c r="C37" s="72"/>
      <c r="I37" s="60">
        <v>22</v>
      </c>
      <c r="J37" s="62"/>
      <c r="K37" s="62"/>
      <c r="L37" s="61">
        <f t="shared" si="1"/>
        <v>51.289999999999992</v>
      </c>
      <c r="M37" s="57">
        <f t="shared" si="0"/>
        <v>0.1727419354838711</v>
      </c>
    </row>
    <row r="38" spans="1:14" ht="18.95" customHeight="1">
      <c r="I38" s="60">
        <v>23</v>
      </c>
      <c r="J38" s="62"/>
      <c r="K38" s="62"/>
      <c r="L38" s="61">
        <f t="shared" si="1"/>
        <v>51.289999999999992</v>
      </c>
      <c r="M38" s="57">
        <f t="shared" si="0"/>
        <v>0.1727419354838711</v>
      </c>
    </row>
    <row r="39" spans="1:14" ht="18.95" customHeight="1">
      <c r="I39" s="60">
        <v>24</v>
      </c>
      <c r="J39" s="62"/>
      <c r="K39" s="62"/>
      <c r="L39" s="61">
        <f t="shared" si="1"/>
        <v>51.289999999999992</v>
      </c>
      <c r="M39" s="57">
        <f t="shared" si="0"/>
        <v>0.1727419354838711</v>
      </c>
    </row>
    <row r="40" spans="1:14"/>
    <row r="41" spans="1:14"/>
    <row r="42" spans="1:14" ht="18.95" hidden="1" customHeight="1"/>
    <row r="43" spans="1:14" ht="18.95" hidden="1" customHeight="1"/>
    <row r="44" spans="1:14" ht="18.95" hidden="1" customHeight="1"/>
    <row r="45" spans="1:14" ht="18.95" hidden="1" customHeight="1"/>
    <row r="46" spans="1:14" ht="18.95" hidden="1" customHeight="1"/>
    <row r="47" spans="1:14" ht="18.95" hidden="1" customHeight="1"/>
    <row r="48" spans="1:14" ht="18.95" hidden="1" customHeight="1"/>
    <row r="49" spans="1:2"/>
    <row r="61" spans="1:2" hidden="1">
      <c r="A61" s="88"/>
      <c r="B61" s="88"/>
    </row>
  </sheetData>
  <sheetProtection algorithmName="SHA-512" hashValue="K2K6L5aB+Q30g2mikoPqxHc9vvgwmOTflAtdd7OnmY1dDDWhO0lrcqiAlaBdTd2H+45Xt30VdrjMkD1/znQmLw==" saltValue="53BDsUcBgposG9IFPO0FuA==" spinCount="100000" sheet="1" objects="1" scenarios="1"/>
  <mergeCells count="25">
    <mergeCell ref="B31:G32"/>
    <mergeCell ref="B33:G34"/>
    <mergeCell ref="B35:G36"/>
    <mergeCell ref="I9:M11"/>
    <mergeCell ref="I12:K12"/>
    <mergeCell ref="A28:G28"/>
    <mergeCell ref="A29:A30"/>
    <mergeCell ref="B29:G30"/>
    <mergeCell ref="I13:K13"/>
    <mergeCell ref="A61:B61"/>
    <mergeCell ref="D12:E12"/>
    <mergeCell ref="K7:K8"/>
    <mergeCell ref="A10:C10"/>
    <mergeCell ref="A11:C11"/>
    <mergeCell ref="A12:C12"/>
    <mergeCell ref="D9:E9"/>
    <mergeCell ref="D10:E10"/>
    <mergeCell ref="D11:E11"/>
    <mergeCell ref="F9:G9"/>
    <mergeCell ref="F10:G10"/>
    <mergeCell ref="F11:G11"/>
    <mergeCell ref="F12:G12"/>
    <mergeCell ref="A31:A32"/>
    <mergeCell ref="A33:A34"/>
    <mergeCell ref="A35:A36"/>
  </mergeCells>
  <conditionalFormatting sqref="I16:M39">
    <cfRule type="expression" dxfId="9" priority="1" stopIfTrue="1">
      <formula>ROW(I16)-ROW($I$16)+1 &gt; $L$13</formula>
    </cfRule>
  </conditionalFormatting>
  <conditionalFormatting sqref="M16:M39">
    <cfRule type="cellIs" dxfId="8" priority="2" stopIfTrue="1" operator="greaterThanOrEqual">
      <formula>0.081</formula>
    </cfRule>
    <cfRule type="cellIs" dxfId="7" priority="3" stopIfTrue="1" operator="between">
      <formula>0.04</formula>
      <formula>0.08</formula>
    </cfRule>
    <cfRule type="cellIs" dxfId="6" priority="4" stopIfTrue="1" operator="between">
      <formula>0.02</formula>
      <formula>0.04</formula>
    </cfRule>
    <cfRule type="cellIs" dxfId="5" priority="5" operator="lessThanOrEqual">
      <formula>0.02</formula>
    </cfRule>
  </conditionalFormatting>
  <dataValidations count="4">
    <dataValidation type="decimal" allowBlank="1" showInputMessage="1" showErrorMessage="1" sqref="L12">
      <formula1>40</formula1>
      <formula2>300</formula2>
    </dataValidation>
    <dataValidation type="decimal" allowBlank="1" showInputMessage="1" showErrorMessage="1" sqref="L13">
      <formula1>1</formula1>
      <formula2>24</formula2>
    </dataValidation>
    <dataValidation type="decimal" allowBlank="1" showInputMessage="1" showErrorMessage="1" sqref="J16:J39">
      <formula1>0.1</formula1>
      <formula2>5</formula2>
    </dataValidation>
    <dataValidation type="decimal" allowBlank="1" showInputMessage="1" showErrorMessage="1" sqref="K16:K39">
      <formula1>0</formula1>
      <formula2>4</formula2>
    </dataValidation>
  </dataValidations>
  <pageMargins left="0.7" right="0.7" top="0.75" bottom="0.75" header="0.3" footer="0.3"/>
  <pageSetup paperSize="256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61"/>
  <sheetViews>
    <sheetView zoomScale="90" zoomScaleNormal="90" workbookViewId="0">
      <selection sqref="A1:B3"/>
    </sheetView>
  </sheetViews>
  <sheetFormatPr defaultColWidth="0" defaultRowHeight="15" customHeight="1" zeroHeight="1"/>
  <cols>
    <col min="1" max="8" width="10.77734375" style="48" customWidth="1"/>
    <col min="9" max="13" width="18.77734375" style="48" customWidth="1"/>
    <col min="14" max="14" width="12.6640625" style="48" customWidth="1"/>
    <col min="15" max="16376" width="10.77734375" style="48" hidden="1"/>
    <col min="16377" max="16377" width="10.33203125" style="48" hidden="1"/>
    <col min="16378" max="16378" width="19" style="48" hidden="1"/>
    <col min="16379" max="16381" width="10.77734375" style="48" hidden="1"/>
    <col min="16382" max="16382" width="10.33203125" style="48" hidden="1"/>
    <col min="16383" max="16383" width="19" style="48" hidden="1"/>
    <col min="16384" max="16384" width="10.77734375" style="48" hidden="1"/>
  </cols>
  <sheetData>
    <row r="1" spans="1:14" ht="15.95" customHeight="1">
      <c r="A1" s="47"/>
      <c r="B1" s="47"/>
      <c r="C1" s="47"/>
      <c r="D1" s="58"/>
      <c r="E1" s="58"/>
      <c r="F1" s="58"/>
      <c r="G1" s="58"/>
      <c r="H1" s="58"/>
      <c r="I1" s="58"/>
      <c r="J1" s="58"/>
      <c r="K1" s="47"/>
      <c r="L1" s="47"/>
      <c r="M1" s="47"/>
      <c r="N1" s="47"/>
    </row>
    <row r="2" spans="1:14" ht="15.95" customHeight="1">
      <c r="A2" s="47"/>
      <c r="B2" s="47"/>
      <c r="C2" s="47"/>
      <c r="D2" s="58"/>
      <c r="E2" s="58"/>
      <c r="F2" s="58"/>
      <c r="G2" s="58"/>
      <c r="H2" s="58"/>
      <c r="I2" s="58"/>
      <c r="J2" s="58"/>
      <c r="K2" s="47"/>
      <c r="L2" s="47"/>
      <c r="M2" s="47"/>
      <c r="N2" s="47"/>
    </row>
    <row r="3" spans="1:14" ht="18.95" customHeight="1">
      <c r="A3" s="49"/>
      <c r="B3" s="49"/>
      <c r="C3" s="49"/>
      <c r="D3" s="59"/>
      <c r="E3" s="59"/>
      <c r="F3" s="59"/>
      <c r="G3" s="59"/>
      <c r="H3" s="59"/>
      <c r="I3" s="59"/>
      <c r="J3" s="59"/>
      <c r="K3" s="49"/>
      <c r="L3" s="49"/>
      <c r="M3" s="49"/>
      <c r="N3" s="49"/>
    </row>
    <row r="4" spans="1:14" ht="18.95" customHeight="1">
      <c r="A4" s="49"/>
      <c r="B4" s="49"/>
      <c r="C4" s="49"/>
      <c r="D4" s="59"/>
      <c r="E4" s="59"/>
      <c r="F4" s="59"/>
      <c r="G4" s="59"/>
      <c r="H4" s="59"/>
      <c r="I4" s="59"/>
      <c r="J4" s="59"/>
      <c r="K4" s="49"/>
      <c r="L4" s="49"/>
      <c r="M4" s="49"/>
      <c r="N4" s="49"/>
    </row>
    <row r="5" spans="1:14" ht="15.95" customHeight="1">
      <c r="A5" s="50"/>
      <c r="B5" s="50"/>
      <c r="C5" s="50"/>
      <c r="D5" s="43"/>
      <c r="E5" s="43"/>
      <c r="F5" s="43"/>
      <c r="G5" s="43"/>
      <c r="H5" s="43"/>
      <c r="I5" s="43"/>
      <c r="J5" s="43"/>
      <c r="K5" s="50"/>
      <c r="L5" s="50"/>
      <c r="M5" s="50"/>
      <c r="N5" s="50"/>
    </row>
    <row r="6" spans="1:14" ht="15.95" customHeight="1">
      <c r="A6" s="50"/>
      <c r="B6" s="50"/>
      <c r="C6" s="50"/>
      <c r="D6" s="43"/>
      <c r="E6" s="43"/>
      <c r="F6" s="43"/>
      <c r="G6" s="43"/>
      <c r="H6" s="43"/>
      <c r="I6" s="43"/>
      <c r="J6" s="43"/>
      <c r="K6" s="50"/>
      <c r="L6" s="50"/>
      <c r="M6" s="50"/>
      <c r="N6" s="50"/>
    </row>
    <row r="7" spans="1:14" ht="15.95" customHeight="1">
      <c r="A7" s="51"/>
      <c r="B7" s="51"/>
      <c r="C7" s="51"/>
      <c r="D7" s="44"/>
      <c r="E7" s="44"/>
      <c r="F7" s="44"/>
      <c r="G7" s="44"/>
      <c r="H7" s="44"/>
      <c r="I7" s="44"/>
      <c r="J7" s="44"/>
      <c r="K7" s="91"/>
      <c r="L7" s="51"/>
      <c r="M7" s="51"/>
      <c r="N7" s="51"/>
    </row>
    <row r="8" spans="1:14" ht="15.95" customHeight="1">
      <c r="A8" s="51"/>
      <c r="B8" s="51"/>
      <c r="C8" s="51"/>
      <c r="D8" s="44"/>
      <c r="E8" s="44"/>
      <c r="F8" s="44"/>
      <c r="G8" s="44"/>
      <c r="H8" s="44"/>
      <c r="I8" s="44"/>
      <c r="J8" s="44"/>
      <c r="K8" s="91"/>
      <c r="L8" s="51"/>
      <c r="M8" s="51"/>
      <c r="N8" s="51"/>
    </row>
    <row r="9" spans="1:14" ht="18.95" customHeight="1">
      <c r="A9" s="52"/>
      <c r="B9" s="20"/>
      <c r="C9" s="21"/>
      <c r="D9" s="94" t="s">
        <v>5</v>
      </c>
      <c r="E9" s="95"/>
      <c r="F9" s="94" t="s">
        <v>34</v>
      </c>
      <c r="G9" s="95"/>
      <c r="I9" s="109" t="s">
        <v>35</v>
      </c>
      <c r="J9" s="110"/>
      <c r="K9" s="110"/>
      <c r="L9" s="110"/>
      <c r="M9" s="111"/>
    </row>
    <row r="10" spans="1:14" ht="18.95" customHeight="1">
      <c r="A10" s="92" t="s">
        <v>21</v>
      </c>
      <c r="B10" s="92"/>
      <c r="C10" s="92"/>
      <c r="D10" s="89">
        <f>AVERAGE(Calculator!J10:J35)</f>
        <v>1.8916666666666682</v>
      </c>
      <c r="E10" s="90"/>
      <c r="F10" s="96">
        <f>AVERAGE(Calculator!P10:P35)</f>
        <v>32</v>
      </c>
      <c r="G10" s="96"/>
      <c r="I10" s="112"/>
      <c r="J10" s="113"/>
      <c r="K10" s="113"/>
      <c r="L10" s="113"/>
      <c r="M10" s="114"/>
      <c r="N10" s="45"/>
    </row>
    <row r="11" spans="1:14" ht="15.75">
      <c r="A11" s="93" t="s">
        <v>22</v>
      </c>
      <c r="B11" s="93"/>
      <c r="C11" s="93"/>
      <c r="D11" s="89">
        <f>MIN(Calculator!J10:J35)</f>
        <v>1.8333333333333333</v>
      </c>
      <c r="E11" s="90"/>
      <c r="F11" s="96">
        <f>VLOOKUP(D11,Calculator!J10:P35,7,FALSE)</f>
        <v>28</v>
      </c>
      <c r="G11" s="96"/>
      <c r="I11" s="115"/>
      <c r="J11" s="116"/>
      <c r="K11" s="116"/>
      <c r="L11" s="116"/>
      <c r="M11" s="117"/>
      <c r="N11" s="45"/>
    </row>
    <row r="12" spans="1:14" ht="18.95" customHeight="1">
      <c r="A12" s="93" t="s">
        <v>23</v>
      </c>
      <c r="B12" s="93"/>
      <c r="C12" s="93"/>
      <c r="D12" s="89">
        <f>MAX(Calculator!J10:J35)</f>
        <v>1.9500000000000031</v>
      </c>
      <c r="E12" s="90"/>
      <c r="F12" s="96">
        <f>VLOOKUP(D12,Calculator!J10:P35,7,FALSE)</f>
        <v>36</v>
      </c>
      <c r="G12" s="96"/>
      <c r="I12" s="118" t="s">
        <v>28</v>
      </c>
      <c r="J12" s="119"/>
      <c r="K12" s="120"/>
      <c r="L12" s="63">
        <v>62</v>
      </c>
      <c r="N12" s="53"/>
    </row>
    <row r="13" spans="1:14" ht="18.95" customHeight="1">
      <c r="A13" s="22"/>
      <c r="B13" s="22"/>
      <c r="C13" s="22"/>
      <c r="D13" s="54"/>
      <c r="E13" s="73"/>
      <c r="F13" s="56"/>
      <c r="G13" s="56"/>
      <c r="I13" s="118" t="s">
        <v>37</v>
      </c>
      <c r="J13" s="119"/>
      <c r="K13" s="120"/>
      <c r="L13" s="63">
        <v>6</v>
      </c>
      <c r="N13" s="53"/>
    </row>
    <row r="14" spans="1:14">
      <c r="A14" s="22"/>
      <c r="B14" s="22"/>
      <c r="C14" s="22"/>
      <c r="D14" s="54"/>
      <c r="E14" s="73"/>
      <c r="F14" s="56"/>
      <c r="G14" s="56"/>
      <c r="L14" s="53"/>
      <c r="N14" s="53"/>
    </row>
    <row r="15" spans="1:14" ht="31.5">
      <c r="I15" s="46" t="s">
        <v>24</v>
      </c>
      <c r="J15" s="46" t="s">
        <v>26</v>
      </c>
      <c r="K15" s="46" t="s">
        <v>27</v>
      </c>
      <c r="L15" s="46" t="s">
        <v>25</v>
      </c>
      <c r="M15" s="46" t="s">
        <v>11</v>
      </c>
      <c r="N15" s="53"/>
    </row>
    <row r="16" spans="1:14">
      <c r="I16" s="60">
        <v>1</v>
      </c>
      <c r="J16" s="62">
        <v>1.83</v>
      </c>
      <c r="K16" s="62">
        <v>0.5</v>
      </c>
      <c r="L16" s="61">
        <f>$L$12-(J16-K16)</f>
        <v>60.67</v>
      </c>
      <c r="M16" s="57">
        <f t="shared" ref="M16:M39" si="0">($L$12-L16)/$L$12</f>
        <v>2.1451612903225777E-2</v>
      </c>
      <c r="N16" s="53"/>
    </row>
    <row r="17" spans="1:14">
      <c r="I17" s="60">
        <v>2</v>
      </c>
      <c r="J17" s="62">
        <v>1.89</v>
      </c>
      <c r="K17" s="62">
        <v>0.75</v>
      </c>
      <c r="L17" s="61">
        <f t="shared" ref="L17:L39" si="1">L16-(J17-K17)</f>
        <v>59.53</v>
      </c>
      <c r="M17" s="57">
        <f t="shared" si="0"/>
        <v>3.9838709677419336E-2</v>
      </c>
      <c r="N17" s="53"/>
    </row>
    <row r="18" spans="1:14">
      <c r="I18" s="60">
        <v>3</v>
      </c>
      <c r="J18" s="62">
        <v>1.89</v>
      </c>
      <c r="K18" s="62">
        <v>0.75</v>
      </c>
      <c r="L18" s="61">
        <f t="shared" si="1"/>
        <v>58.39</v>
      </c>
      <c r="M18" s="57">
        <f t="shared" si="0"/>
        <v>5.8225806451612891E-2</v>
      </c>
      <c r="N18" s="53"/>
    </row>
    <row r="19" spans="1:14">
      <c r="I19" s="60">
        <v>4</v>
      </c>
      <c r="J19" s="62">
        <v>1.95</v>
      </c>
      <c r="K19" s="62">
        <v>0.75</v>
      </c>
      <c r="L19" s="61">
        <f t="shared" si="1"/>
        <v>57.19</v>
      </c>
      <c r="M19" s="57">
        <f t="shared" si="0"/>
        <v>7.758064516129036E-2</v>
      </c>
      <c r="N19" s="53"/>
    </row>
    <row r="20" spans="1:14">
      <c r="I20" s="60">
        <v>5</v>
      </c>
      <c r="J20" s="62">
        <v>1.95</v>
      </c>
      <c r="K20" s="62">
        <v>0.5</v>
      </c>
      <c r="L20" s="61">
        <f t="shared" si="1"/>
        <v>55.739999999999995</v>
      </c>
      <c r="M20" s="57">
        <f t="shared" si="0"/>
        <v>0.10096774193548395</v>
      </c>
      <c r="N20" s="53"/>
    </row>
    <row r="21" spans="1:14">
      <c r="I21" s="60">
        <v>6</v>
      </c>
      <c r="J21" s="62">
        <v>1.95</v>
      </c>
      <c r="K21" s="62">
        <v>0.5</v>
      </c>
      <c r="L21" s="61">
        <f t="shared" si="1"/>
        <v>54.289999999999992</v>
      </c>
      <c r="M21" s="57">
        <f t="shared" si="0"/>
        <v>0.12435483870967755</v>
      </c>
      <c r="N21" s="53"/>
    </row>
    <row r="22" spans="1:14">
      <c r="I22" s="60">
        <v>7</v>
      </c>
      <c r="J22" s="62">
        <v>1.5</v>
      </c>
      <c r="K22" s="62">
        <v>0.75</v>
      </c>
      <c r="L22" s="61">
        <f t="shared" si="1"/>
        <v>53.539999999999992</v>
      </c>
      <c r="M22" s="57">
        <f t="shared" si="0"/>
        <v>0.13645161290322594</v>
      </c>
      <c r="N22" s="53"/>
    </row>
    <row r="23" spans="1:14">
      <c r="I23" s="60">
        <v>8</v>
      </c>
      <c r="J23" s="62">
        <v>1.5</v>
      </c>
      <c r="K23" s="62">
        <v>0.75</v>
      </c>
      <c r="L23" s="61">
        <f t="shared" si="1"/>
        <v>52.789999999999992</v>
      </c>
      <c r="M23" s="57">
        <f t="shared" si="0"/>
        <v>0.14854838709677431</v>
      </c>
      <c r="N23" s="53"/>
    </row>
    <row r="24" spans="1:14">
      <c r="I24" s="60">
        <v>9</v>
      </c>
      <c r="J24" s="62">
        <v>1.5</v>
      </c>
      <c r="K24" s="62">
        <v>0.75</v>
      </c>
      <c r="L24" s="61">
        <f t="shared" si="1"/>
        <v>52.039999999999992</v>
      </c>
      <c r="M24" s="57">
        <f t="shared" si="0"/>
        <v>0.16064516129032272</v>
      </c>
      <c r="N24" s="53"/>
    </row>
    <row r="25" spans="1:14">
      <c r="I25" s="60">
        <v>10</v>
      </c>
      <c r="J25" s="62">
        <v>1.5</v>
      </c>
      <c r="K25" s="62">
        <v>0.75</v>
      </c>
      <c r="L25" s="61">
        <f t="shared" si="1"/>
        <v>51.289999999999992</v>
      </c>
      <c r="M25" s="57">
        <f t="shared" si="0"/>
        <v>0.1727419354838711</v>
      </c>
      <c r="N25" s="53"/>
    </row>
    <row r="26" spans="1:14">
      <c r="I26" s="60">
        <v>11</v>
      </c>
      <c r="J26" s="62"/>
      <c r="K26" s="62"/>
      <c r="L26" s="61">
        <f t="shared" si="1"/>
        <v>51.289999999999992</v>
      </c>
      <c r="M26" s="57">
        <f t="shared" si="0"/>
        <v>0.1727419354838711</v>
      </c>
      <c r="N26" s="53"/>
    </row>
    <row r="27" spans="1:14">
      <c r="I27" s="60">
        <v>12</v>
      </c>
      <c r="J27" s="62"/>
      <c r="K27" s="62"/>
      <c r="L27" s="61">
        <f t="shared" si="1"/>
        <v>51.289999999999992</v>
      </c>
      <c r="M27" s="57">
        <f t="shared" si="0"/>
        <v>0.1727419354838711</v>
      </c>
      <c r="N27" s="53"/>
    </row>
    <row r="28" spans="1:14" ht="20.100000000000001" customHeight="1">
      <c r="A28" s="81" t="s">
        <v>18</v>
      </c>
      <c r="B28" s="82"/>
      <c r="C28" s="82"/>
      <c r="D28" s="82"/>
      <c r="E28" s="82"/>
      <c r="F28" s="82"/>
      <c r="G28" s="83"/>
      <c r="I28" s="60">
        <v>13</v>
      </c>
      <c r="J28" s="62"/>
      <c r="K28" s="62"/>
      <c r="L28" s="61">
        <f t="shared" si="1"/>
        <v>51.289999999999992</v>
      </c>
      <c r="M28" s="57">
        <f t="shared" si="0"/>
        <v>0.1727419354838711</v>
      </c>
      <c r="N28" s="53"/>
    </row>
    <row r="29" spans="1:14">
      <c r="A29" s="121"/>
      <c r="B29" s="102" t="s">
        <v>36</v>
      </c>
      <c r="C29" s="103"/>
      <c r="D29" s="103"/>
      <c r="E29" s="103"/>
      <c r="F29" s="103"/>
      <c r="G29" s="104"/>
      <c r="I29" s="60">
        <v>14</v>
      </c>
      <c r="J29" s="62"/>
      <c r="K29" s="62"/>
      <c r="L29" s="61">
        <f t="shared" si="1"/>
        <v>51.289999999999992</v>
      </c>
      <c r="M29" s="57">
        <f t="shared" si="0"/>
        <v>0.1727419354838711</v>
      </c>
      <c r="N29" s="53"/>
    </row>
    <row r="30" spans="1:14">
      <c r="A30" s="122"/>
      <c r="B30" s="105"/>
      <c r="C30" s="106"/>
      <c r="D30" s="106"/>
      <c r="E30" s="106"/>
      <c r="F30" s="106"/>
      <c r="G30" s="107"/>
      <c r="I30" s="60">
        <v>15</v>
      </c>
      <c r="J30" s="62"/>
      <c r="K30" s="62"/>
      <c r="L30" s="61">
        <f t="shared" si="1"/>
        <v>51.289999999999992</v>
      </c>
      <c r="M30" s="57">
        <f t="shared" si="0"/>
        <v>0.1727419354838711</v>
      </c>
      <c r="N30" s="53"/>
    </row>
    <row r="31" spans="1:14">
      <c r="A31" s="97"/>
      <c r="B31" s="102" t="s">
        <v>41</v>
      </c>
      <c r="C31" s="103"/>
      <c r="D31" s="103"/>
      <c r="E31" s="103"/>
      <c r="F31" s="103"/>
      <c r="G31" s="104"/>
      <c r="I31" s="60">
        <v>16</v>
      </c>
      <c r="J31" s="62"/>
      <c r="K31" s="62"/>
      <c r="L31" s="61">
        <f t="shared" si="1"/>
        <v>51.289999999999992</v>
      </c>
      <c r="M31" s="57">
        <f t="shared" si="0"/>
        <v>0.1727419354838711</v>
      </c>
      <c r="N31" s="53"/>
    </row>
    <row r="32" spans="1:14" ht="18.95" customHeight="1">
      <c r="A32" s="98"/>
      <c r="B32" s="105"/>
      <c r="C32" s="106"/>
      <c r="D32" s="106"/>
      <c r="E32" s="106"/>
      <c r="F32" s="106"/>
      <c r="G32" s="107"/>
      <c r="I32" s="60">
        <v>17</v>
      </c>
      <c r="J32" s="62"/>
      <c r="K32" s="62"/>
      <c r="L32" s="61">
        <f t="shared" si="1"/>
        <v>51.289999999999992</v>
      </c>
      <c r="M32" s="57">
        <f t="shared" si="0"/>
        <v>0.1727419354838711</v>
      </c>
      <c r="N32" s="53"/>
    </row>
    <row r="33" spans="1:14" ht="15.95" customHeight="1">
      <c r="A33" s="99"/>
      <c r="B33" s="102" t="s">
        <v>32</v>
      </c>
      <c r="C33" s="103"/>
      <c r="D33" s="103"/>
      <c r="E33" s="103"/>
      <c r="F33" s="103"/>
      <c r="G33" s="104"/>
      <c r="I33" s="60">
        <v>18</v>
      </c>
      <c r="J33" s="62"/>
      <c r="K33" s="62"/>
      <c r="L33" s="61">
        <f t="shared" si="1"/>
        <v>51.289999999999992</v>
      </c>
      <c r="M33" s="57">
        <f t="shared" si="0"/>
        <v>0.1727419354838711</v>
      </c>
      <c r="N33" s="53"/>
    </row>
    <row r="34" spans="1:14" ht="18.95" customHeight="1">
      <c r="A34" s="99"/>
      <c r="B34" s="105"/>
      <c r="C34" s="106"/>
      <c r="D34" s="106"/>
      <c r="E34" s="106"/>
      <c r="F34" s="106"/>
      <c r="G34" s="107"/>
      <c r="I34" s="60">
        <v>19</v>
      </c>
      <c r="J34" s="62"/>
      <c r="K34" s="62"/>
      <c r="L34" s="61">
        <f t="shared" si="1"/>
        <v>51.289999999999992</v>
      </c>
      <c r="M34" s="57">
        <f t="shared" si="0"/>
        <v>0.1727419354838711</v>
      </c>
      <c r="N34" s="53"/>
    </row>
    <row r="35" spans="1:14" s="73" customFormat="1" ht="18.95" customHeight="1">
      <c r="A35" s="100"/>
      <c r="B35" s="102" t="s">
        <v>33</v>
      </c>
      <c r="C35" s="103"/>
      <c r="D35" s="103"/>
      <c r="E35" s="103"/>
      <c r="F35" s="103"/>
      <c r="G35" s="104"/>
      <c r="H35" s="45"/>
      <c r="I35" s="60">
        <v>20</v>
      </c>
      <c r="J35" s="62"/>
      <c r="K35" s="62"/>
      <c r="L35" s="61">
        <f t="shared" si="1"/>
        <v>51.289999999999992</v>
      </c>
      <c r="M35" s="57">
        <f t="shared" si="0"/>
        <v>0.1727419354838711</v>
      </c>
      <c r="N35" s="53"/>
    </row>
    <row r="36" spans="1:14" s="73" customFormat="1" ht="24" customHeight="1">
      <c r="A36" s="101"/>
      <c r="B36" s="105"/>
      <c r="C36" s="108"/>
      <c r="D36" s="106"/>
      <c r="E36" s="106"/>
      <c r="F36" s="106"/>
      <c r="G36" s="107"/>
      <c r="H36" s="45"/>
      <c r="I36" s="60">
        <v>21</v>
      </c>
      <c r="J36" s="62"/>
      <c r="K36" s="62"/>
      <c r="L36" s="61">
        <f t="shared" si="1"/>
        <v>51.289999999999992</v>
      </c>
      <c r="M36" s="57">
        <f t="shared" si="0"/>
        <v>0.1727419354838711</v>
      </c>
      <c r="N36" s="53"/>
    </row>
    <row r="37" spans="1:14">
      <c r="C37" s="72"/>
      <c r="I37" s="60">
        <v>22</v>
      </c>
      <c r="J37" s="62"/>
      <c r="K37" s="62"/>
      <c r="L37" s="61">
        <f t="shared" si="1"/>
        <v>51.289999999999992</v>
      </c>
      <c r="M37" s="57">
        <f t="shared" si="0"/>
        <v>0.1727419354838711</v>
      </c>
    </row>
    <row r="38" spans="1:14" ht="18.95" customHeight="1">
      <c r="I38" s="60">
        <v>23</v>
      </c>
      <c r="J38" s="62"/>
      <c r="K38" s="62"/>
      <c r="L38" s="61">
        <f t="shared" si="1"/>
        <v>51.289999999999992</v>
      </c>
      <c r="M38" s="57">
        <f t="shared" si="0"/>
        <v>0.1727419354838711</v>
      </c>
    </row>
    <row r="39" spans="1:14" ht="18.95" customHeight="1">
      <c r="I39" s="60">
        <v>24</v>
      </c>
      <c r="J39" s="62"/>
      <c r="K39" s="62"/>
      <c r="L39" s="61">
        <f t="shared" si="1"/>
        <v>51.289999999999992</v>
      </c>
      <c r="M39" s="57">
        <f t="shared" si="0"/>
        <v>0.1727419354838711</v>
      </c>
    </row>
    <row r="40" spans="1:14"/>
    <row r="41" spans="1:14"/>
    <row r="42" spans="1:14" ht="18.95" hidden="1" customHeight="1"/>
    <row r="43" spans="1:14" ht="18.95" hidden="1" customHeight="1"/>
    <row r="44" spans="1:14" ht="18.95" hidden="1" customHeight="1"/>
    <row r="45" spans="1:14" ht="18.95" hidden="1" customHeight="1"/>
    <row r="46" spans="1:14" ht="18.95" hidden="1" customHeight="1"/>
    <row r="47" spans="1:14" ht="18.95" hidden="1" customHeight="1"/>
    <row r="48" spans="1:14" ht="18.95" hidden="1" customHeight="1"/>
    <row r="49" spans="1:2"/>
    <row r="61" spans="1:2" hidden="1">
      <c r="A61" s="88"/>
      <c r="B61" s="88"/>
    </row>
  </sheetData>
  <mergeCells count="25">
    <mergeCell ref="A35:A36"/>
    <mergeCell ref="B35:G36"/>
    <mergeCell ref="A61:B61"/>
    <mergeCell ref="A29:A30"/>
    <mergeCell ref="B29:G30"/>
    <mergeCell ref="A31:A32"/>
    <mergeCell ref="B31:G32"/>
    <mergeCell ref="A33:A34"/>
    <mergeCell ref="B33:G34"/>
    <mergeCell ref="A12:C12"/>
    <mergeCell ref="D12:E12"/>
    <mergeCell ref="F12:G12"/>
    <mergeCell ref="I12:K12"/>
    <mergeCell ref="I13:K13"/>
    <mergeCell ref="A28:G28"/>
    <mergeCell ref="K7:K8"/>
    <mergeCell ref="D9:E9"/>
    <mergeCell ref="F9:G9"/>
    <mergeCell ref="I9:M11"/>
    <mergeCell ref="A10:C10"/>
    <mergeCell ref="D10:E10"/>
    <mergeCell ref="F10:G10"/>
    <mergeCell ref="A11:C11"/>
    <mergeCell ref="D11:E11"/>
    <mergeCell ref="F11:G11"/>
  </mergeCells>
  <conditionalFormatting sqref="I16:M39">
    <cfRule type="expression" dxfId="4" priority="1" stopIfTrue="1">
      <formula>ROW(I16)-ROW($I$16)+1 &gt; $L$13</formula>
    </cfRule>
  </conditionalFormatting>
  <conditionalFormatting sqref="M16:M39">
    <cfRule type="cellIs" dxfId="3" priority="2" stopIfTrue="1" operator="greaterThanOrEqual">
      <formula>0.081</formula>
    </cfRule>
    <cfRule type="cellIs" dxfId="2" priority="3" stopIfTrue="1" operator="between">
      <formula>0.04</formula>
      <formula>0.08</formula>
    </cfRule>
    <cfRule type="cellIs" dxfId="1" priority="4" stopIfTrue="1" operator="between">
      <formula>0.02</formula>
      <formula>0.04</formula>
    </cfRule>
    <cfRule type="cellIs" dxfId="0" priority="5" operator="lessThanOrEqual">
      <formula>0.02</formula>
    </cfRule>
  </conditionalFormatting>
  <dataValidations count="4">
    <dataValidation type="decimal" allowBlank="1" showInputMessage="1" showErrorMessage="1" sqref="K16:K39">
      <formula1>0</formula1>
      <formula2>4</formula2>
    </dataValidation>
    <dataValidation type="decimal" allowBlank="1" showInputMessage="1" showErrorMessage="1" sqref="J16:J39">
      <formula1>0.1</formula1>
      <formula2>5</formula2>
    </dataValidation>
    <dataValidation type="decimal" allowBlank="1" showInputMessage="1" showErrorMessage="1" sqref="L13">
      <formula1>1</formula1>
      <formula2>24</formula2>
    </dataValidation>
    <dataValidation type="decimal" allowBlank="1" showInputMessage="1" showErrorMessage="1" sqref="L12">
      <formula1>40</formula1>
      <formula2>300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Arrell</dc:creator>
  <cp:lastModifiedBy>Admin</cp:lastModifiedBy>
  <cp:lastPrinted>2025-04-29T08:21:05Z</cp:lastPrinted>
  <dcterms:created xsi:type="dcterms:W3CDTF">2024-12-19T20:15:19Z</dcterms:created>
  <dcterms:modified xsi:type="dcterms:W3CDTF">2025-04-29T08:29:00Z</dcterms:modified>
</cp:coreProperties>
</file>